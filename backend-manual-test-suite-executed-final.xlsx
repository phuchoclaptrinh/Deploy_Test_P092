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_Vin\P-092\"/>
    </mc:Choice>
  </mc:AlternateContent>
  <xr:revisionPtr revIDLastSave="0" documentId="13_ncr:1_{A405D238-6E94-4AF2-83B1-0F02C6EC09FF}" xr6:coauthVersionLast="47" xr6:coauthVersionMax="47" xr10:uidLastSave="{00000000-0000-0000-0000-000000000000}"/>
  <bookViews>
    <workbookView xWindow="-98" yWindow="-98" windowWidth="23236" windowHeight="13875" firstSheet="1" activeTab="4" xr2:uid="{00000000-000D-0000-FFFF-FFFF00000000}"/>
  </bookViews>
  <sheets>
    <sheet name="00_Tong_Quan" sheetId="1" r:id="rId1"/>
    <sheet name="01_API_Chuc_Nang" sheetId="2" r:id="rId2"/>
    <sheet name="02_Xac_Thuc_Phan_Quyen" sheetId="3" r:id="rId3"/>
    <sheet name="03_Luong_Nghiep_Vu" sheetId="4" r:id="rId4"/>
    <sheet name="04_Chuyen_Trang_Thai" sheetId="5" r:id="rId5"/>
    <sheet name="05_Du_Lieu" sheetId="6" r:id="rId6"/>
    <sheet name="06_Tich_Hop" sheetId="7" r:id="rId7"/>
    <sheet name="07_Bao_Mat" sheetId="8" r:id="rId8"/>
    <sheet name="08_Dong_Thoi" sheetId="9" r:id="rId9"/>
    <sheet name="09_Kha_Nang_Phu_Hoi" sheetId="10" r:id="rId10"/>
    <sheet name="10_Hieu_Nang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  <c r="B26" i="1"/>
  <c r="G26" i="1" s="1"/>
  <c r="F25" i="1"/>
  <c r="E25" i="1"/>
  <c r="D25" i="1"/>
  <c r="C25" i="1"/>
  <c r="B25" i="1"/>
  <c r="G25" i="1" s="1"/>
  <c r="F24" i="1"/>
  <c r="E24" i="1"/>
  <c r="D24" i="1"/>
  <c r="C24" i="1"/>
  <c r="B24" i="1"/>
  <c r="G24" i="1" s="1"/>
  <c r="F23" i="1"/>
  <c r="E23" i="1"/>
  <c r="D23" i="1"/>
  <c r="C23" i="1"/>
  <c r="B23" i="1"/>
  <c r="G23" i="1" s="1"/>
  <c r="F22" i="1"/>
  <c r="E22" i="1"/>
  <c r="D22" i="1"/>
  <c r="C22" i="1"/>
  <c r="B22" i="1"/>
  <c r="G22" i="1" s="1"/>
  <c r="F21" i="1"/>
  <c r="E21" i="1"/>
  <c r="D21" i="1"/>
  <c r="C21" i="1"/>
  <c r="B21" i="1"/>
  <c r="G21" i="1" s="1"/>
  <c r="F20" i="1"/>
  <c r="E20" i="1"/>
  <c r="D20" i="1"/>
  <c r="C20" i="1"/>
  <c r="B20" i="1"/>
  <c r="G20" i="1" s="1"/>
  <c r="F19" i="1"/>
  <c r="E19" i="1"/>
  <c r="D19" i="1"/>
  <c r="C19" i="1"/>
  <c r="G19" i="1" s="1"/>
  <c r="B19" i="1"/>
  <c r="G18" i="1"/>
  <c r="F18" i="1"/>
  <c r="E18" i="1"/>
  <c r="D18" i="1"/>
  <c r="C18" i="1"/>
  <c r="B18" i="1"/>
  <c r="F17" i="1"/>
  <c r="E17" i="1"/>
  <c r="D17" i="1"/>
  <c r="C17" i="1"/>
  <c r="B17" i="1"/>
  <c r="G17" i="1" s="1"/>
  <c r="B14" i="1"/>
  <c r="B13" i="1"/>
  <c r="B12" i="1"/>
  <c r="B8" i="1"/>
  <c r="B7" i="1"/>
  <c r="B6" i="1"/>
  <c r="B5" i="1"/>
  <c r="B4" i="1"/>
  <c r="B9" i="1" s="1"/>
</calcChain>
</file>

<file path=xl/sharedStrings.xml><?xml version="1.0" encoding="utf-8"?>
<sst xmlns="http://schemas.openxmlformats.org/spreadsheetml/2006/main" count="1086" uniqueCount="618">
  <si>
    <t>TỔNG QUAN THỰC THI KIỂM THỬ THỦ CÔNG BACKEND</t>
  </si>
  <si>
    <t>Tổng quan</t>
  </si>
  <si>
    <t>Tổng số test case</t>
  </si>
  <si>
    <t>PASS</t>
  </si>
  <si>
    <t>FAIL</t>
  </si>
  <si>
    <t>BLOCKED</t>
  </si>
  <si>
    <t>NOT RUN</t>
  </si>
  <si>
    <t>Tỷ lệ đạt</t>
  </si>
  <si>
    <t>Mức ưu tiên</t>
  </si>
  <si>
    <t>P0</t>
  </si>
  <si>
    <t>P1</t>
  </si>
  <si>
    <t>P2</t>
  </si>
  <si>
    <t>Nhóm kiểm thử</t>
  </si>
  <si>
    <t>Tổng</t>
  </si>
  <si>
    <t>API chức năng</t>
  </si>
  <si>
    <t>Xác thực &amp; phân quyền</t>
  </si>
  <si>
    <t>Luồng nghiệp vụ</t>
  </si>
  <si>
    <t>Chuyển trạng thái</t>
  </si>
  <si>
    <t>Cơ sở dữ liệu</t>
  </si>
  <si>
    <t>Tích hợp</t>
  </si>
  <si>
    <t>Bảo mật</t>
  </si>
  <si>
    <t>Đồng thời</t>
  </si>
  <si>
    <t>Khả năng phục hồi</t>
  </si>
  <si>
    <t>Hiệu năng</t>
  </si>
  <si>
    <t>Mã test case</t>
  </si>
  <si>
    <t>Nhóm</t>
  </si>
  <si>
    <t>API</t>
  </si>
  <si>
    <t>Kịch bản</t>
  </si>
  <si>
    <t>Ưu tiên</t>
  </si>
  <si>
    <t>Điều kiện trước</t>
  </si>
  <si>
    <t>Dữ liệu test</t>
  </si>
  <si>
    <t>Các bước test</t>
  </si>
  <si>
    <t>Status mong đợi</t>
  </si>
  <si>
    <t>Kết quả mong đợi</t>
  </si>
  <si>
    <t>Kết quả thực tế</t>
  </si>
  <si>
    <t>Trạng thái</t>
  </si>
  <si>
    <t>Bug / Ghi chú</t>
  </si>
  <si>
    <t>TC-CATALOG-001</t>
  </si>
  <si>
    <t>01 API chức năng</t>
  </si>
  <si>
    <t>GET /api/v1/catalog/locations</t>
  </si>
  <si>
    <t>Lấy danh mục vị trí</t>
  </si>
  <si>
    <t>Đã có dữ liệu seed danh mục</t>
  </si>
  <si>
    <t>Vai trò: RESIDENT</t>
  </si>
  <si>
    <t>1. GET /api/v1/catalog/locations; 2. Kiểm tra cấu trúc danh sách</t>
  </si>
  <si>
    <t>200</t>
  </si>
  <si>
    <t>Phản hồi: data là mảng; mỗi item có id/name/type các field client cần</t>
  </si>
  <si>
    <t>HTTP 200. Response trả về danh sách vị trí hợp lệ; mỗi item có id, label, tầng, loại vị trí và unit_code nếu là vị trí trong căn hộ. Không có lỗi trong response.</t>
  </si>
  <si>
    <t>TC-CATALOG-003</t>
  </si>
  <si>
    <t>GET /api/v1/catalog/categories</t>
  </si>
  <si>
    <t>Lấy danh mục phản ánh đang hoạt động</t>
  </si>
  <si>
    <t>Category seed exists</t>
  </si>
  <si>
    <t>1. GET /api/v1/catalog/categories; 2. Kiểm tra dữ liệu category đang hoạt động</t>
  </si>
  <si>
    <t>Phản hồi: data là mảng; category id/code/display_name tồn tại</t>
  </si>
  <si>
    <t>HTTP 200. Response trả về danh sách danh mục phản ánh đang hoạt động; mỗi item có id, code và display_name. Không có lỗi trong response.</t>
  </si>
  <si>
    <t>TC-STORAGE-001</t>
  </si>
  <si>
    <t>POST /api/v1/storage/ticket-attachments/upload-url</t>
  </si>
  <si>
    <t>Tạo signed upload URL cho ảnh phản ánh</t>
  </si>
  <si>
    <t>Cư dân đang active</t>
  </si>
  <si>
    <t>Vai trò: RESIDENT | Body: {"original_filename":"incident-test.jpg","mime_type":"image/jpeg","file_size":245760}</t>
  </si>
  <si>
    <t>1. POST upload-url; 2. Gửi body; 3. Lưu upload_id và signed URL</t>
  </si>
  <si>
    <t>201</t>
  </si>
  <si>
    <t>Phản hồi: data.upload_id and signed upload URL tồn tại | Cơ sở dữ liệu: ticket_attachment_upload_sessions row được tạo with owner cư dân and status pending | Tác động phụ: Supabase Storage signed URL được yêu cầu</t>
  </si>
  <si>
    <t>HTTP 201. Backend tạo upload_id và signed upload URL cho ảnh phản ánh. DB ghi nhận upload session trạng thái pending, đúng owner là cư dân hiện tại.</t>
  </si>
  <si>
    <t>TC-STORAGE-003</t>
  </si>
  <si>
    <t>POST /api/v1/storage/completion-evidence/upload-url</t>
  </si>
  <si>
    <t>Tạo signed upload URL cho bằng chứng hoàn thành</t>
  </si>
  <si>
    <t>KTV đang active</t>
  </si>
  <si>
    <t>Vai trò: TECHNICIAN | Body: {"original_filename":"done.jpg","mime_type":"image/jpeg","file_size":200000}</t>
  </si>
  <si>
    <t>1. POST completion upload-url; 2. Gửi body; 3. Lưu upload_id</t>
  </si>
  <si>
    <t>Phản hồi: data.upload_id and signed upload URL tồn tại | Cơ sở dữ liệu: completion upload session được tạo for KTV | Tác động phụ: Supabase Storage signed URL được yêu cầu</t>
  </si>
  <si>
    <t>HTTP 201. Backend tạo upload_id và signed upload URL cho ảnh bằng chứng hoàn thành. Upload session gắn với KTV hiện tại và ở trạng thái pending.</t>
  </si>
  <si>
    <t>TC-TICKET-001</t>
  </si>
  <si>
    <t>POST /api/v1/tickets</t>
  </si>
  <si>
    <t>Tạo phản ánh chỉ có mô tả</t>
  </si>
  <si>
    <t>Cư dân đang đang hoạt động và đã được liên kết; location tồn tại</t>
  </si>
  <si>
    <t>Vai trò: RESIDENT | Body: {"location_id":"{{LOCATION_ID}}","description":"Vòi nước rò rỉ ở hành lang tầng 7","attachment_upload_ids":[]}</t>
  </si>
  <si>
    <t>1. POST /api/v1/tickets; 2. Gửi body hợp lệ; 3. Lưu ticket_id</t>
  </si>
  <si>
    <t>202</t>
  </si>
  <si>
    <t>Phản hồi: data.ticket_id or ticket data returned; error là null; request_id tồn tại | Cơ sở dữ liệu: tickets row được tạo with reporter cư dân; analysis background task scheduled | Tác động phụ: Tác vụ phân tích AI nền được đưa vào hàng đợi</t>
  </si>
  <si>
    <t>HTTP 202. Backend tạo ticket chỉ có mô tả, trả về ticket_id và trạng thái xử lý ban đầu. DB có ticket mới và background analysis/agent được kích hoạt.</t>
  </si>
  <si>
    <t>TC-TICKET-002</t>
  </si>
  <si>
    <t>Tạo phản ánh với ảnh đã upload hợp lệ</t>
  </si>
  <si>
    <t>Cư dân có upload_id pending hợp lệ; object trên storage đã được xác minh</t>
  </si>
  <si>
    <t>Vai trò: RESIDENT | Body: {"location_id":"{{LOCATION_ID}}","description":"Có khói ở khu vực bếp","attachment_upload_ids":["{{UPLOAD_ID}}"]}</t>
  </si>
  <si>
    <t>1. Tạo upload URL; 2. Tải ảnh test lên; 3. POST ticket; 4. Kiểm tra attachment</t>
  </si>
  <si>
    <t>Phản hồi: Ticket được tạo; attachment linked in response if exposed | Cơ sở dữ liệu: tạo dòng ticket; upload session consumed; ticket_attachments row được tạo | Tác động phụ: Phân tích AI được đưa vào hàng đợi</t>
  </si>
  <si>
    <t>HTTP 202. Ticket được tạo với ảnh đã upload hợp lệ. Upload session được consume, ticket_attachments được tạo và analysis/agent được kích hoạt.</t>
  </si>
  <si>
    <t>TC-TICKET-008</t>
  </si>
  <si>
    <t>GET /api/v1/tickets</t>
  </si>
  <si>
    <t>Liệt kê phản ánh resident được phép xem</t>
  </si>
  <si>
    <t>Cư dân có ticket của chính mình và cùng unit</t>
  </si>
  <si>
    <t>1. GET /api/v1/tickets; 2. Kiểm tra list chỉ chứa các phản ánh được phép xem</t>
  </si>
  <si>
    <t>Phản hồi: data là mảng/list envelope; không rò rỉ dữ liệu riêng chỉ dành cho AI</t>
  </si>
  <si>
    <t>HTTP 200. Resident chỉ xem được các phản ánh thuộc phạm vi được phép; response có items, page, page_size, total và không lộ dữ liệu ngoài quyền.</t>
  </si>
  <si>
    <t>TC-TICKET-009</t>
  </si>
  <si>
    <t>GET /api/v1/tickets/{ticket_id}</t>
  </si>
  <si>
    <t>Xem chi tiết phản ánh của chính mình</t>
  </si>
  <si>
    <t>Ticket belongs to cư dân or visible unit</t>
  </si>
  <si>
    <t>Vai trò: RESIDENT | Tham số đường dẫn: ticket_id={{TICKET_ID}}</t>
  </si>
  <si>
    <t>1. GET endpoint chi tiết; 2. Kiểm tra cấu trúc status/category/attachments trong body</t>
  </si>
  <si>
    <t>Phản hồi: data.id={{TICKET_ID}}; error là null</t>
  </si>
  <si>
    <t>HTTP 200. Resident xem được chi tiết ticket của chính mình; response có thông tin trạng thái, vị trí, mô tả, timeline, attachment nếu có và error=null.</t>
  </si>
  <si>
    <t>TC-TICKET-011</t>
  </si>
  <si>
    <t>POST /api/v1/tickets/{ticket_id}/cancel</t>
  </si>
  <si>
    <t>Hủy phản ánh NEW của chính mình</t>
  </si>
  <si>
    <t>Ticket có trạng thái NEW; người thao tác là người báo cáo; không có emergency gate đang chờ</t>
  </si>
  <si>
    <t>Vai trò: RESIDENT | Tham số đường dẫn: ticket_id={{NEW_TICKET_ID}}</t>
  </si>
  <si>
    <t>1. POST cancel; 2. Kiểm tra trạng thái đã hủy</t>
  </si>
  <si>
    <t>Phản hồi: data.status indicates canceled; error là null | Cơ sở dữ liệu: Ticket status được cập nhật to canceled; status history/audit nếu đã triển khai | Tác động phụ: Thông báo nếu đã triển khai</t>
  </si>
  <si>
    <t>HTTP 200. Resident hủy được ticket còn NEW do chính mình tạo. DB cập nhật trạng thái ticket sang CANCELLED và ghi nhận lịch sử trạng thái tương ứng.</t>
  </si>
  <si>
    <t>TC-AGENTQ-001</t>
  </si>
  <si>
    <t>GET /api/v1/tickets/{ticket_id}/agent-question</t>
  </si>
  <si>
    <t>Lấy câu hỏi bổ sung đang chờ từ agent</t>
  </si>
  <si>
    <t>Ticket có câu hỏi từ agent chưa được cư dân trả lời</t>
  </si>
  <si>
    <t>Vai trò: RESIDENT | Tham số đường dẫn: ticket_id={{QUESTION_TICKET_ID}}</t>
  </si>
  <si>
    <t>1. GET agent-question; 2. Kiểm tra các trường/tùy chọn của câu hỏi</t>
  </si>
  <si>
    <t>Phản hồi: data.question_id tồn tại; trạng thái câu hỏi là pending</t>
  </si>
  <si>
    <t>HTTP 200. Khi agent cần bổ sung thông tin, endpoint trả về câu hỏi pending gồm id, question_kind, question_type, options nếu có và thời hạn trả lời.</t>
  </si>
  <si>
    <t>TC-AGENTQ-003</t>
  </si>
  <si>
    <t>POST /api/v1/tickets/{ticket_id}/agent-question/{question_id}/answer</t>
  </si>
  <si>
    <t>Trả lời câu hỏi agent bằng văn bản</t>
  </si>
  <si>
    <t>Có câu hỏi pending và thuộc ticket của cư dân</t>
  </si>
  <si>
    <t>Vai trò: RESIDENT | Tham số đường dẫn: ticket_id={{QUESTION_TICKET_ID}}; question_id={{QUESTION_ID}} | Body: {"answer_type":"FREE_TEXT","answer_text":"Vị trí chính xác là hành lang tầng 7, gần thang máy","upload_id":null,"selected_location_id":null}</t>
  </si>
  <si>
    <t>1. POST answer endpoint; 2. Gửi body; 3. Kiểm tra câu hỏi đã được trả lời</t>
  </si>
  <si>
    <t>Phản hồi: data indicates answer accepted; error là null | Cơ sở dữ liệu: AIAgentQuestion answer fields được cập nhật; quá trình phân tích tiếp tục nếu áp dụng | Tác động phụ: AI analysis có thể được đưa vào hàng đợi</t>
  </si>
  <si>
    <t>HTTP 200. Resident trả lời câu hỏi agent hợp lệ. DB cập nhật question thành ANSWERED, lưu answer_text/answer_payload và cho phép analysis tiếp tục.</t>
  </si>
  <si>
    <t>TC-COORD-001</t>
  </si>
  <si>
    <t>GET /api/v1/coordinator/tickets</t>
  </si>
  <si>
    <t>BQL xem danh sách phản ánh</t>
  </si>
  <si>
    <t>BQL đang active; đã seed dữ liệu ticket</t>
  </si>
  <si>
    <t>Vai trò: COORDINATOR</t>
  </si>
  <si>
    <t>1. GET BQL tickets; 2. Kiểm tra danh sách và các trường trạng thái</t>
  </si>
  <si>
    <t>Phản hồi: data là danh sách/trang; các dòng ticket hiển thị cho BQL</t>
  </si>
  <si>
    <t>HTTP 200. BQL xem được danh sách phản ánh; response có items và phân trang, bao gồm trạng thái phân loại, ưu tiên, điểm rủi ro và thông tin gán việc nếu có.</t>
  </si>
  <si>
    <t>TC-TECHMGMT-001</t>
  </si>
  <si>
    <t>GET /api/v1/coordinator/technicians</t>
  </si>
  <si>
    <t>Lấy danh sách KTV để phân công</t>
  </si>
  <si>
    <t>BQL đang active; đã seed dữ liệu KTV</t>
  </si>
  <si>
    <t>1. GET KTVs; 2. Kiểm tra các trường khả dụng/kỹ năng/công suất</t>
  </si>
  <si>
    <t>Phản hồi: data là danh sách KTV kèm kỹ năng/trạng thái khả dụng</t>
  </si>
  <si>
    <t>HTTP 200. BQL lấy được danh sách KTV; mỗi item có user_id, full_name, trạng thái active/available và danh sách skill_category_ids để phục vụ phân công.</t>
  </si>
  <si>
    <t>TC-VISUAL-001</t>
  </si>
  <si>
    <t>GET /api/v1/coordinator/visual-assignment/board</t>
  </si>
  <si>
    <t>Lấy board phân việc trực quan hợp lệ</t>
  </si>
  <si>
    <t>Có ticket sẵn sàng grouping đã được duyệt; KTV đang hoạt động</t>
  </si>
  <si>
    <t>1. GET board; 2. Kiểm tra các unit và KTV</t>
  </si>
  <si>
    <t>Phản hồi: data chứa các work unit và lane của KTV</t>
  </si>
  <si>
    <t>HTTP 200. Board phân việc trả về đúng cấu trúc gồm work units, danh sách KTV và cờ within_working_shift. Chỉ các ticket đủ điều kiện phân việc mới xuất hiện trên board.</t>
  </si>
  <si>
    <t>TC-VISUAL-004</t>
  </si>
  <si>
    <t>POST /api/v1/coordinator/visual-assignment/confirm</t>
  </si>
  <si>
    <t>Xác nhận kéo-thả phân việc thành công</t>
  </si>
  <si>
    <t>Board mới nhất; unit_id lấy từ board; KTV hợp lệ</t>
  </si>
  <si>
    <t>Vai trò: COORDINATOR | Body: {"placements":[{"unit_id":"{{VISUAL_UNIT_ID}}","KTV_id":"{{TECHNICIAN_ID}}"}]}</t>
  </si>
  <si>
    <t>1. GET board; 2. Sao chép unit_id; 3. POST confirm; 4. Kiểm tra phân công</t>
  </si>
  <si>
    <t>Phản hồi: data xác nhận các placement đã được phân công | Cơ sở dữ liệu: Assignments được tạo; dispatch events superseded; audit log được tạo | Tác động phụ: KTV notification được tạo</t>
  </si>
  <si>
    <t>HTTP 200. Xác nhận placement hợp lệ tạo assignment cho KTV. DB tạo ticket_assignment, cập nhật lịch dự kiến, supersede dispatch event liên quan và tạo notification/audit.</t>
  </si>
  <si>
    <t>TC-AUTO-002</t>
  </si>
  <si>
    <t>PUT /api/v1/coordinator/auto-assignment</t>
  </si>
  <si>
    <t>Bật tự phân công sau khi đã xác nhận cảnh báo</t>
  </si>
  <si>
    <t>BQL đang active; đã biết version hiện tại</t>
  </si>
  <si>
    <t>Vai trò: COORDINATOR | Body: {"enabled":true,"acknowledged":true,"expected_version":{{AUTO_ASSIGNMENT_VERSION}}}</t>
  </si>
  <si>
    <t>1. GET thiết lập; 2. PUT enabled true acknowledged; 3. Kiểm tra version tăng</t>
  </si>
  <si>
    <t>Phản hồi: data.enabled=true; data.version incremented | Cơ sở dữ liệu: auto_phân công_thiết lậps được cập nhật; audit log; backlog được đưa vào hàng đợi khi chuyển sang ON | Tác động phụ: Dispatch event có thể được đưa vào hàng đợi</t>
  </si>
  <si>
    <t>HTTP 200. BQL bật tự phân công sau khi xác nhận cảnh báo. Response trả trạng thái enabled/version mới; DB cập nhật auto_assignment_settings và ghi nhận audit.</t>
  </si>
  <si>
    <t>TC-AUTO-003</t>
  </si>
  <si>
    <t>Từ chối bật tự phân công khi chưa xác nhận cảnh báo</t>
  </si>
  <si>
    <t>BQL đang active</t>
  </si>
  <si>
    <t>Vai trò: COORDINATOR | Body: {"enabled":true,"acknowledged":false,"expected_version":{{AUTO_ASSIGNMENT_VERSION}}}</t>
  </si>
  <si>
    <t>1. PUT enabled true không xác nhận; 2. Kiểm tra xác thực dữ liệu</t>
  </si>
  <si>
    <t>400</t>
  </si>
  <si>
    <t>Phản hồi: error.code=VALIDATION_ERROR | Cơ sở dữ liệu: Thiết lập không thay đổi | Tác động phụ: Không đưa backlog vào hàng đợi</t>
  </si>
  <si>
    <t>HTTP 400. Backend từ chối bật tự phân công khi thiếu xác nhận cảnh báo. Setting hiện tại không bị thay đổi và response trả lỗi validation/domain phù hợp.</t>
  </si>
  <si>
    <t>TC-DISPATCH-001</t>
  </si>
  <si>
    <t>GET /api/v1/coordinator/dispatch/events</t>
  </si>
  <si>
    <t>Xem hàng đợi sự kiện tự phân công</t>
  </si>
  <si>
    <t>Có dispatch event</t>
  </si>
  <si>
    <t>1. GET dispatch events; 2. Kiểm tra các trường trạng thái event</t>
  </si>
  <si>
    <t>Phản hồi: data là danh sách/trang of dispatch events</t>
  </si>
  <si>
    <t>HTTP 200. BQL xem được hàng đợi dispatch events; response có danh sách event, trạng thái, priority, ticket_id, technician được chọn nếu đã xử lý và thông tin lỗi nếu có.</t>
  </si>
  <si>
    <t>TC-TECH-004</t>
  </si>
  <si>
    <t>GET /api/v1/technician/queue</t>
  </si>
  <si>
    <t>KTV xem hàng đợi công việc của mình</t>
  </si>
  <si>
    <t>KTV có phân công trong hàng đợi</t>
  </si>
  <si>
    <t>Vai trò: TECHNICIAN</t>
  </si>
  <si>
    <t>1. GET queue; 2. Kiểm tra thứ tự đã lập kế hoạch</t>
  </si>
  <si>
    <t>Phản hồi: hàng đợi data đã được sắp xếp; job đầu tiên hiển thị</t>
  </si>
  <si>
    <t>HTTP 200. KTV xem được hàng đợi công việc của mình; response có items theo planned_order, trạng thái ca làm việc và thông tin ticket/assignment cần hiển thị trên app KTV.</t>
  </si>
  <si>
    <t>TC-ACCOUNT-002</t>
  </si>
  <si>
    <t>POST /api/v1/coordinator/accounts/residents</t>
  </si>
  <si>
    <t>Tạo tài khoản cư dân</t>
  </si>
  <si>
    <t>BQL đang active; unit tồn tại; email chưa được sử dụng</t>
  </si>
  <si>
    <t>Vai trò: COORDINATOR | Body: {"email":"cư dân.new@homecare.local","password":"HomeCareTest2026","phone":"+84900000011","full_name":"Cư dân New","unit_code":"A-1203","is_primary":true}</t>
  </si>
  <si>
    <t>1. POST tạo cư dân; 2. Kiểm tra tài khoản và hồ sơ</t>
  </si>
  <si>
    <t>Phản hồi: data contains được tạo account/user id | Cơ sở dữ liệu: Supabase auth tạo user; user_profiles and cư dân_profiles rows được tạo | Tác động phụ: Tạo audit log</t>
  </si>
  <si>
    <t>HTTP 201. BQL tạo được tài khoản cư dân. Supabase Auth, user_profiles và resident_profiles được tạo đúng dữ liệu; tài khoản active và có thông tin căn hộ phù hợp.</t>
  </si>
  <si>
    <t>TC-ACCOUNT-007</t>
  </si>
  <si>
    <t>POST /api/v1/coordinator/accounts/technicians</t>
  </si>
  <si>
    <t>Tạo tài khoản KTV</t>
  </si>
  <si>
    <t>BQL đang active; category kỹ năng tồn tại; email chưa được sử dụng</t>
  </si>
  <si>
    <t>Vai trò: COORDINATOR | Body: {"email":"ktv.new@homecare.local","password":"HomeCareTest2026","full_name":"KTV New","phone_number":"+84900000021","skill_category_ids":["{{CATEGORY_ID}}"],"is_available":true}</t>
  </si>
  <si>
    <t>1. POST tạo KTV; 2. Kiểm tra hồ sơ và kỹ năng</t>
  </si>
  <si>
    <t>Phản hồi: data chứa tài khoản KTV | Cơ sở dữ liệu: Tạo Auth user/profile/KTV_profile/skills | Tác động phụ: Tạo audit log</t>
  </si>
  <si>
    <t>HTTP 201. BQL tạo được tài khoản KTV. Supabase Auth, user_profiles, technician_profiles và skills được tạo đúng dữ liệu; tài khoản active/available theo request.</t>
  </si>
  <si>
    <t>TC-AUTH-006</t>
  </si>
  <si>
    <t>02 Xác thực &amp; phân quyền</t>
  </si>
  <si>
    <t>GET /api/v1/me</t>
  </si>
  <si>
    <t>Lấy hồ sơ hiện tại bằng token resident hợp lệ</t>
  </si>
  <si>
    <t>Cư dân profile exists and active</t>
  </si>
  <si>
    <t>1. GET {{BASE_URL}}/api/v1/me; 2. Thêm token cư dân; 3. Gửi</t>
  </si>
  <si>
    <t>Phản hồi: data.role=RESIDENT; data.user_id tồn tại; error là null</t>
  </si>
  <si>
    <t>HTTP 200. /me trả role=RESIDENT, is_active=True; response không có password hay token nội bộ.</t>
  </si>
  <si>
    <t>TC-AUTH-007</t>
  </si>
  <si>
    <t>Từ chối request chưa được xác thực qua middleware auth chung</t>
  </si>
  <si>
    <t>Backend đang chạy</t>
  </si>
  <si>
    <t>Vai trò: Công khai | Header: Không có header Authorization</t>
  </si>
  <si>
    <t>1. GET /api/v1/me không có Authorization; 2. Gửi; 3. Kiểm tra lỗi</t>
  </si>
  <si>
    <t>401</t>
  </si>
  <si>
    <t>Phản hồi: error.code=AUTH_REQUIRED</t>
  </si>
  <si>
    <t>HTTP 401. Request không có Authorization bị từ chối; error.code=AUTH_REQUIRED.</t>
  </si>
  <si>
    <t>TC-AUTH-008</t>
  </si>
  <si>
    <t>Từ chối user đang bị khóa</t>
  </si>
  <si>
    <t>Hồ sơ user có is_active=false</t>
  </si>
  <si>
    <t>1. GET /api/v1/me với token của user bị khóa; 2. Gửi</t>
  </si>
  <si>
    <t>403</t>
  </si>
  <si>
    <t>Phản hồi: error.code=USER_INACTIVE</t>
  </si>
  <si>
    <t>Khóa tài khoản HTTP 200; token cũ gọi /me HTTP 403 và /tickets HTTP 403, cùng error.code=USER_INACTIVE. Khôi phục tài khoản HTTP 200.</t>
  </si>
  <si>
    <t>TC-SEC-011</t>
  </si>
  <si>
    <t>Từ chối JWT bị sửa hoặc giả mạo ở endpoint BQL</t>
  </si>
  <si>
    <t>Backend đang chạy; tạo JWT không hợp lệ bằng cách sửa một ký tự trong token hợp lệ</t>
  </si>
  <si>
    <t>Header: Authorization=Bearer {{TAMPERED_TOKEN}}</t>
  </si>
  <si>
    <t>1. GET BQL tickets với token đã bị sửa; 2. Kiểm tra response; 3. Xác nhận no audit/business side effect</t>
  </si>
  <si>
    <t>Phản hồi HTTP: error.code=AUTH_TOKEN_INVALID or AUTH_REQUIRED. Cơ sở dữ liệu: không có thay đổi dữ liệu phía đọc hoặc audit cho thấy actor hợp lệ.</t>
  </si>
  <si>
    <t>JWT bị sửa trên endpoint coordinator trả về HTTP 401; error.code=AUTH_TOKEN_INVALID.</t>
  </si>
  <si>
    <t/>
  </si>
  <si>
    <t>TC-SEC-012</t>
  </si>
  <si>
    <t>Từ chối JWT hết hạn</t>
  </si>
  <si>
    <t>Có token test hết hạn từ thiết lập auth test; không giả lập bằng cách thay đổi đồng hồ hệ thống toàn cục</t>
  </si>
  <si>
    <t>Header: Authorization=Bearer {{EXPIRED_TOKEN}}</t>
  </si>
  <si>
    <t>1. GET /api/v1/me với token hết hạn; 2. Kiểm tra response</t>
  </si>
  <si>
    <t>Phản hồi HTTP: error.code=AUTH_TOKEN_EXPIRED or AUTH_TOKEN_INVALID. Cơ sở dữ liệu: không cập nhật hồ sơ.</t>
  </si>
  <si>
    <t>GET /me với JWT ký hợp lệ nhưng hết hạn trả HTTP 401, code=AUTH_TOKEN_EXPIRED; user profile không thay đổi=True.</t>
  </si>
  <si>
    <t>TC-COORD-002</t>
  </si>
  <si>
    <t>Từ chối sai role qua authorization coordinator chung</t>
  </si>
  <si>
    <t>1. GET BQL tickets with cư dân token; 2. Kiểm tra bị từ chối quyền</t>
  </si>
  <si>
    <t>Phản hồi: error.code=FORBIDDEN</t>
  </si>
  <si>
    <t>Token resident trên endpoint coordinator trả về HTTP 403; error.code=FORBIDDEN.</t>
  </si>
  <si>
    <t>TC-STORAGE-004</t>
  </si>
  <si>
    <t>Từ chối resident tạo upload URL bằng chứng hoàn thành</t>
  </si>
  <si>
    <t>Vai trò: RESIDENT | Body: {"original_filename":"done.jpg","mime_type":"image/jpeg","file_size":200000}</t>
  </si>
  <si>
    <t>1. POST KTV storage endpoint with cư dân token; 2. Kiểm tra bị từ chối quyền</t>
  </si>
  <si>
    <t>Phản hồi: error.code=FORBIDDEN | Cơ sở dữ liệu: Không tạo upload session | Tác động phụ: Không tạo signed URL</t>
  </si>
  <si>
    <t>Token resident trên endpoint storage của technician trả về HTTP 403; error.code=FORBIDDEN; upload_session_count 2-&gt;2.</t>
  </si>
  <si>
    <t>TC-FLOW-001</t>
  </si>
  <si>
    <t>03 Luồng nghiệp vụ</t>
  </si>
  <si>
    <t>MULTI-API</t>
  </si>
  <si>
    <t>Cư dân tạo phản ánh, BQL phân công, KTV hoàn thành</t>
  </si>
  <si>
    <t>Cư dân, BQL, KTV, category, location, storage đều đã được chuẩn bị</t>
  </si>
  <si>
    <t>Vai trò: Nhiều vai trò | Header: Dùng token theo vai trò ở từng bước | Body: Xem body của từng bước</t>
  </si>
  <si>
    <t>1. Run TC-STORAGE-001 if image; 2. Run TC-TICKET-001/002; 3. Hoàn thành AI analysis; 4. Run TC-COORD-004; 5. Run TC-COORD phân công/TC-VISUAL-004; 6. Run TC-TECH-007; 7. Run TC-STORAGE-003; 8. Run TC-TECH-014</t>
  </si>
  <si>
    <t>All step statuses pass</t>
  </si>
  <si>
    <t>Phản hồi: Final ticket completed and all response bodies match each API | Cơ sở dữ liệu: Ticket completed; phân công completed; evidence saved; audit/status history correct | Tác động phụ: Cư dân/BQL/KTV notifications correct</t>
  </si>
  <si>
    <t>Tạo resident HTTP 201; tạo ticket HTTP 202; LLM -&gt; classification=RESOLVED, status=APPROVED, priority=P1, manual_resolve/approve=200/200; assign/start/upload/PUT/complete=200/200/201/200/200; DB ticket=COMPLETED, assignment=COMPLETED.</t>
  </si>
  <si>
    <t>TC-FLOW-002</t>
  </si>
  <si>
    <t>P5 đã xác nhận vẫn xử lý thủ công, không phân công</t>
  </si>
  <si>
    <t>P5 pending ticket exists</t>
  </si>
  <si>
    <t>Vai trò: COORDINATOR | Tham số đường dẫn: ticket_id={{P5_PENDING_TICKET_ID}} | Body: Xem body trong TC-P5</t>
  </si>
  <si>
    <t>1. Chạy TC-P5-001; 2. Thử TC-P5-005; 3. Kiểm tra ticket bị loại khỏi visual board; 4. Chạy dispatch một lần; 5. Check no phân công</t>
  </si>
  <si>
    <t>200 sau đó 409/absent as expected</t>
  </si>
  <si>
    <t>Phản hồi: P5 đã được xác nhận; phân công attempts bị chặn | Cơ sở dữ liệu: No ticket_phân công for P5 | Tác động phụ: Emergency notification/audit exists</t>
  </si>
  <si>
    <t>P5 confirmed; assign HTTP 500; visual board HTTP 200, ticket xuất hiện=False; dispatch HTTP 200; assignment_count sau dispatch=0.</t>
  </si>
  <si>
    <t>BUG-P5-003 - Một hoặc nhiều gate manual-only P5 chưa đúng contract.</t>
  </si>
  <si>
    <t>TC-FLOW-003</t>
  </si>
  <si>
    <t>Hạ P5 rồi quay lại luồng phân công thường</t>
  </si>
  <si>
    <t>Có ticket P5 pending và BQL quyết định không phải khẩn cấp</t>
  </si>
  <si>
    <t>Vai trò: COORDINATOR | Tham số đường dẫn: ticket_id={{P5_PENDING_TICKET_ID}} | Body: See TC-P5-002 body</t>
  </si>
  <si>
    <t>1. Chạy TC-P5-002; 2. Xử lý duplicate/grouping nếu cần; 3. Duyệt ticket; 4. Assign KTV; 5. KTV bắt đầu xử lý</t>
  </si>
  <si>
    <t>Phản hồi: Mức ưu tiên below P5 and phân công allowed after rule completion | Cơ sở dữ liệu: Mức ưu tiên override saved; tạo phân công after approval | Tác động phụ: Audit/notification được tạo</t>
  </si>
  <si>
    <t>Fixture lưu audit run P5 DOWNGRADED rồi run grouping NO_MATCH/P3; assign HTTP 200; KTV start HTTP 200; DB ticket=IN_PROGRESS, assignment=IN_PROGRESS.</t>
  </si>
  <si>
    <t>TC-FLOW-004</t>
  </si>
  <si>
    <t>Gộp phản ánh thành case rồi duyệt và phân công case</t>
  </si>
  <si>
    <t>Nhiều vai trò similar đã seed dữ liệu ticket</t>
  </si>
  <si>
    <t>Vai trò: COORDINATOR | Tham số đường dẫn: case_id={{CASE_ID}} | Body: Xem các case cluster</t>
  </si>
  <si>
    <t>1. Chạy xử lý duplicate/grouping; 2. GET danh sách cluster; 3. Duyệt cluster; 4. Phân công cluster; 5. Kiểm tra tất cả thành viên</t>
  </si>
  <si>
    <t>Phản hồi: Case assigned all-or-nothing | Cơ sở dữ liệu: All member phân côngs được tạo or none on failure | Tác động phụ: KTV notification/audit</t>
  </si>
  <si>
    <t>GET clusters HTTP 200, case hiển thị=True; approve HTTP 200 (2/2 ticket); assign HTTP 200 (2/2 ticket); DB tạo 2 assignment cùng một KTV; audit ASSIGN_TECHNICIAN=2, notification phân công=4.</t>
  </si>
  <si>
    <t>TC-FLOW-005</t>
  </si>
  <si>
    <t>Worker tự phân công tạo phân công</t>
  </si>
  <si>
    <t>Duyệtd eligible tickets and active KTVs exist; in working hours; phân công-worker is running</t>
  </si>
  <si>
    <t>Vai trò: COORDINATOR | Body: See auto-phân công and dispatch event checks</t>
  </si>
  <si>
    <t>1. GET auto thiết lập; 2. Bật và xác nhận; 3. Wait for phân công-worker cycle; 4. Kiểm tra màn hình dispatch event; 5. KTV mở hàng đợi</t>
  </si>
  <si>
    <t>Phản hồi: Eligible ticket assigned; P5 skipped | Cơ sở dữ liệu: dispatch_events completed/deferred correctly; tạo phân công once | Tác động phụ: KTV notification/audit</t>
  </si>
  <si>
    <t>Worker chạy 2 pass; event=ASSIGNED, assignment_count=1, source=AUTO_AGENT, technician=fe8a1968-8941-4ec9-b86b-1729d3622e48.</t>
  </si>
  <si>
    <t>TC-FLOW-006</t>
  </si>
  <si>
    <t>Khóa tài khoản làm user mất quyền truy cập</t>
  </si>
  <si>
    <t>Có tài khoản test BQL và cư dân</t>
  </si>
  <si>
    <t>Vai trò: COORDINATOR/RESIDENT | Tham số đường dẫn: user_id={{RESIDENT_USER_ID}} | Body: {"is_active":false}</t>
  </si>
  <si>
    <t>1. BQL disables cư dân; 2. Cư dân calls /me; 3. Cư dân calls /tickets; 4. Kiểm tra denied</t>
  </si>
  <si>
    <t>200 sau đó 403</t>
  </si>
  <si>
    <t>Phản hồi: User bị khóa nhận USER_INACTIVE | Cơ sở dữ liệu: user_profiles.is_active=false</t>
  </si>
  <si>
    <t>TC-FLOW-007</t>
  </si>
  <si>
    <t>Agent hỏi bổ sung, cư dân trả lời, ticket tiếp tục review</t>
  </si>
  <si>
    <t>Agent tạo câu hỏi đang mở cho ticket; ticket thuộc cư dân</t>
  </si>
  <si>
    <t>API luồng: GET /tickets/{ticket_id}/agent-question; POST /tickets/{ticket_id}/agent-question/{question_id}/answer; BQL list/detail</t>
  </si>
  <si>
    <t>1. Cư dân opens agent question; 2. Cư dân answers with valid text; 3. Wait or trigger resumed analysis; 4. BQL checks ticket state</t>
  </si>
  <si>
    <t>Ticket leaves waiting question path and resumes classification. Cơ sở dữ liệu: question status answered; new analysis run or được cập nhật run records cư dân answer; no duplicate question remains open.</t>
  </si>
  <si>
    <t>Ticket 6a1d09e3-15e6-43f2-ad46-2a31ca0f2db3: câu hỏi ANSWERED=1, PENDING=0; analysis SUCCEEDED=1; classification=RESOLVED.</t>
  </si>
  <si>
    <t>TC-FLOW-008</t>
  </si>
  <si>
    <t>KTV từ chối/không xử lý được và ticket quay lại đường xử lý phù hợp</t>
  </si>
  <si>
    <t>Duyệtd ticket không phải P5 đã được phân công cho KTV; có KTV khác đủ điều kiện hoặc quản lý có thể phân công lại thủ công</t>
  </si>
  <si>
    <t>API luồng: POST /KTV/phân côngs/{id}/reject or unable-to-handle; GET /BQL/tickets/{ticket_id}; optional assign/worker</t>
  </si>
  <si>
    <t>1. KTV từ chối công việc ASSIGNED hoặc đánh dấu IN_PROGRESS là không thể xử lý; 2. BQL xem ticket; 3. Reassign manually or let dispatch handle according to thiết lậps</t>
  </si>
  <si>
    <t>Assignment becomes REJECTED or UNABLE_TO_HANDLE. Ticket status and queue state match current code: rejected ASSIGNED ticket returns to APPROVED for rephân công; unable-to-handle IN_PROGRESS ticket becomes UNRESOLVABLE unless rephân công flow says otherwise. Audit/notification exists.</t>
  </si>
  <si>
    <t>Reject ASSIGNED HTTP 200: assignment=REJECTED, ticket=APPROVED. Luồng thứ hai start HTTP 200, unable-to-handle HTTP 200: assignment=UNABLE_TO_HANDLE, ticket=UNRESOLVABLE.</t>
  </si>
  <si>
    <t>TC-COORD-004</t>
  </si>
  <si>
    <t>04 Chuyển trạng thái</t>
  </si>
  <si>
    <t>POST /api/v1/coordinator/tickets/{ticket_id}/approve</t>
  </si>
  <si>
    <t>Duyệt phản ánh thường sau khi classification đã resolved</t>
  </si>
  <si>
    <t>Ticket NEW; đã hoàn tất phân loại; đã có category và priority; không ở trạng thái P5 pending</t>
  </si>
  <si>
    <t>Vai trò: COORDINATOR | Tham số đường dẫn: ticket_id={{APPROVABLE_TICKET_ID}}</t>
  </si>
  <si>
    <t>1. POST approve; 2. Kiểm tra trạng thái approved</t>
  </si>
  <si>
    <t>Phản hồi: data.trạng thái approved; error là null | Cơ sở dữ liệu: Ticket status được cập nhật; status history/audit được tạo | Tác động phụ: Notification may be được tạo</t>
  </si>
  <si>
    <t>Ticket 810c1f91-8fd3-445a-a678-5c4c4f8975ca NEW/RESOLVED/P1 được approve HTTP 200; DB status=APPROVED; history 1-&gt;2, notification 0-&gt;1.</t>
  </si>
  <si>
    <t>TC-COORD-005</t>
  </si>
  <si>
    <t>Từ chối duyệt khi thiếu category/priority</t>
  </si>
  <si>
    <t>Ticket NEW nhưng thiếu category hoặc priority</t>
  </si>
  <si>
    <t>Vai trò: COORDINATOR | Tham số đường dẫn: ticket_id={{UNCLASSIFIED_TICKET_ID}}</t>
  </si>
  <si>
    <t>1. POST approve; 2. Kiểm tra conflict</t>
  </si>
  <si>
    <t>409</t>
  </si>
  <si>
    <t>Phản hồi: error.code=CATEGORY_REQUIRED or RISK_ASSESSMENT_REQUIRED | Cơ sở dữ liệu: Ticket không thay đổi | Tác động phụ: No notification</t>
  </si>
  <si>
    <t>Approve ticket thiếu category/priority trả HTTP 409, error.code=CATEGORY_REQUIRED; DB vẫn NEW, category=None, priority=None.</t>
  </si>
  <si>
    <t>TC-COORD-007</t>
  </si>
  <si>
    <t>POST /api/v1/coordinator/tickets/{ticket_id}/manual-review/resolve</t>
  </si>
  <si>
    <t>Xử lý manual review</t>
  </si>
  <si>
    <t>Ticket đang được review thủ công; category tồn tại</t>
  </si>
  <si>
    <t>Vai trò: COORDINATOR | Tham số đường dẫn: ticket_id={{MANUAL_REVIEW_TICKET_ID}} | Body: {"category_id":"{{CATEGORY_ID}}","resolution_source":"COORDINATOR","criteria":{"severity":2,"safety":1,"spread":1,"downtime":1,"customer_impact":1},"blockers":[],"evidence":null,"reason":"Đã kiểm tra nội dung và ảnh phản ánh"}</t>
  </si>
  <si>
    <t>1. POST xử lý manual-review; 2. Kiểm tra phân loại ticket đã được xử lý</t>
  </si>
  <si>
    <t>Phản hồi: data contains resolved category/priority | Cơ sở dữ liệu: Human review/risk assessment saved; ticket state được cập nhật | Tác động phụ: Audit/notification nếu đã triển khai</t>
  </si>
  <si>
    <t>Payload nguyên văn trong workbook trả HTTP 422 thay vì 200 do resolution_source=COORDINATOR và criteria dùng field cũ severity/safety/spread/downtime/customer_impact. Payload theo schema hiện tại (resolution_source=OTHER, 5 tiêu chí risk-v2) trả HTTP 200; DB classification=RESOLVED, priority=P2.</t>
  </si>
  <si>
    <t>TEST-DATA-001 - Dữ liệu TC-COORD-007 trong workbook đã lỗi thời so với API schema hiện tại; backend hoạt động với payload hiện hành.</t>
  </si>
  <si>
    <t>TC-COORD-008</t>
  </si>
  <si>
    <t>POST /api/v1/coordinator/tickets/{ticket_id}/manual-review/reject</t>
  </si>
  <si>
    <t>Từ chối phản ánh ở manual review</t>
  </si>
  <si>
    <t>Ticket is in manual review</t>
  </si>
  <si>
    <t>Vai trò: COORDINATOR | Tham số đường dẫn: ticket_id={{MANUAL_REVIEW_TICKET_ID}} | Body: {"reason":"Nội dung không đủ căn cứ để tạo phản ánh"}</t>
  </si>
  <si>
    <t>1. POST từ chối manual-review; 2. Kiểm tra trạng thái rejected</t>
  </si>
  <si>
    <t>Phản hồi: data status/review state indicates rejected | Cơ sở dữ liệu: Ticket/review được cập nhật with reason | Tác động phụ: Cư dân notification nếu đã triển khai</t>
  </si>
  <si>
    <t>Reject manual review HTTP 200; DB status=INVALID, classification=FAILED, invalid_reason=COORDINATOR_REJECTED.</t>
  </si>
  <si>
    <t>TC-P5-001</t>
  </si>
  <si>
    <t>POST /api/v1/coordinator/tickets/{ticket_id}/emergency-review</t>
  </si>
  <si>
    <t>Xác nhận phản ánh khẩn cấp P5</t>
  </si>
  <si>
    <t>Lần phân tích gần nhất của ticket có emergency_review_status=PENDING</t>
  </si>
  <si>
    <t>Vai trò: COORDINATOR | Tham số đường dẫn: ticket_id={{P5_PENDING_TICKET_ID}} | Body: {"decision":"CONFIRM_P5","priority":null,"reason":""}</t>
  </si>
  <si>
    <t>1. POST emergency-review; 2. Kiểm tra P5 đã được xác nhận; 3. Kiểm tra no phân công unlocked</t>
  </si>
  <si>
    <t>Phản hồi: data priority/status shows P5 đã được xác nhận; error là null | Cơ sở dữ liệu: AIAnalysisRun emergency status confirmed; ticket stays manual emergency path | Tác động phụ: Emergency notification/audit được tạo</t>
  </si>
  <si>
    <t>Ticket 42500713-ae34-4dc2-a92d-9e292dbc9231 được LLM phân tích P5/PENDING. Emergency review HTTP 200; DB priority=P5, review=CONFIRMED, decision=CONFIRM_P5, assignment_count=0.</t>
  </si>
  <si>
    <t>TC-P5-002</t>
  </si>
  <si>
    <t>Hạ P5 xuống mức không khẩn cấp P1-P4</t>
  </si>
  <si>
    <t>Ticket has P5 review pending</t>
  </si>
  <si>
    <t>Vai trò: COORDINATOR | Tham số đường dẫn: ticket_id={{P5_PENDING_TICKET_ID}} | Body: {"decision":"DOWNGRADE_PRIORITY","priority":"P3","reason":"Không có dấu hiệu nguy hiểm trực tiếp sau khi xác minh"}</t>
  </si>
  <si>
    <t>1. POST hạ mức emergency-review; 2. Kiểm tra priority P3; 3. Tiếp tục luồng bình thường</t>
  </si>
  <si>
    <t>Phản hồi: data priority=P3 or effective priority below P5 | Cơ sở dữ liệu: Mức ưu tiên override/review decision saved; grouping/duplicate flow resumes | Tác động phụ: Audit được tạo</t>
  </si>
  <si>
    <t>Ticket 6640679a-b487-4eb0-8030-53b73180a91f P5/PENDING được hạ mức qua HTTP 200. DB run 1 lưu DOWNGRADED/DOWNGRADE_PRIORITY/effective_priority=P3; pipeline tiếp tục tạo run 2 SUCCEEDED/NOT_REQUIRED/P3 và classification=RESOLVED.</t>
  </si>
  <si>
    <t>TC-P5-005</t>
  </si>
  <si>
    <t>POST /api/v1/coordinator/tickets/{ticket_id}/assign</t>
  </si>
  <si>
    <t>Từ chối mọi attempt phân công thủ công cho P5 đã xác nhận</t>
  </si>
  <si>
    <t>Mức ưu tiên của ticket là P5 và emergency review gần nhất là CONFIRMED</t>
  </si>
  <si>
    <t>Vai trò: COORDINATOR | Path: ticket_id={{CONFIRMED_P5_TICKET_ID}} | Body: KTV_id={{TECHNICIAN_ID}}</t>
  </si>
  <si>
    <t>1. POST phân công thủ công cho P5 đã xác nhận; 2. Kiểm tra response; 3. Query ticket_phân côngs for ticket</t>
  </si>
  <si>
    <t>Phản hồi HTTP: error.code=EMERGENCY_MANUAL_ONLY. Cơ sở dữ liệu: no phân công row is được tạo; P5 remains handled manually by BQL.</t>
  </si>
  <si>
    <t>Gán thủ công ticket P5 trả HTTP 500, error.code=INTERNAL_ERROR; assignment_count trước/sau=0/0.</t>
  </si>
  <si>
    <t>BUG-P5-003 - API gán P5 không trả 409 EMERGENCY_MANUAL_ONLY dù DB không tạo assignment.</t>
  </si>
  <si>
    <t>TC-TECH-007</t>
  </si>
  <si>
    <t>POST /api/v1/technician/assignments/{assignment_id}/start</t>
  </si>
  <si>
    <t>KTV bắt đầu phân công đứng đầu hàng đợi</t>
  </si>
  <si>
    <t>Assignment thuộc KTV; status ASSIGNED; planned_order=0; ticket APPROVED</t>
  </si>
  <si>
    <t>Vai trò: TECHNICIAN | Tham số đường dẫn: phân công_id={{ASSIGNMENT_ID}}</t>
  </si>
  <si>
    <t>1. POST start; 2. Kiểm tra IN_PROGRESS</t>
  </si>
  <si>
    <t>Phản hồi: data.status=IN_PROGRESS | Cơ sở dữ liệu: Assignment started_at/status được cập nhật; queue reindexed | Tác động phụ: BQL/cư dân notification nếu đã triển khai</t>
  </si>
  <si>
    <t>Assignment 2642bb62-9b56-4cd6-8604-25d8bfc823ed xuất hiện trong queue; POST start HTTP 200. API/DB assignment=IN_PROGRESS/IN_PROGRESS, ticket=IN_PROGRESS, started_at tồn tại=True.</t>
  </si>
  <si>
    <t>TC-TECH-014</t>
  </si>
  <si>
    <t>POST /api/v1/technician/assignments/{assignment_id}/complete</t>
  </si>
  <si>
    <t>KTV hoàn thành phân công với bằng chứng</t>
  </si>
  <si>
    <t>Assignment IN_PROGRESS; có upload_id bằng chứng hoàn thành hợp lệ và object đã được xác minh</t>
  </si>
  <si>
    <t>Vai trò: TECHNICIAN | Tham số đường dẫn: phân công_id={{IN_PROGRESS_ASSIGNMENT_ID}} | Body: {"resolution_note":"Đã thay khóa và kiểm tra hoạt động bình thường","evidence_upload_ids":["{{EVIDENCE_UPLOAD_ID}}"]}</t>
  </si>
  <si>
    <t>1. Tạo URL tải bằng chứng hoàn thành; 2. Upload image; 3. POST complete; 4. Kiểm tra status</t>
  </si>
  <si>
    <t>Phản hồi: data.status=COMPLETED or equivalent | Cơ sở dữ liệu: Assignment completed; ticket resolved/completed; evidence attachment saved; upload session consumed | Tác động phụ: Cư dân/BQL notification; audit</t>
  </si>
  <si>
    <t>Signed URL HTTP 201, upload Storage HTTP 200, complete HTTP 200. API/DB assignment=COMPLETED/COMPLETED; ticket=COMPLETED; evidence 0-&gt;1; notification 5-&gt;6; audit 2-&gt;3.</t>
  </si>
  <si>
    <t>TC-STATE-004</t>
  </si>
  <si>
    <t>Từ chối hoàn thành phân công lần thứ hai</t>
  </si>
  <si>
    <t>Assignment có status COMPLETED; ticket có status COMPLETED</t>
  </si>
  <si>
    <t>Vai trò: TECHNICIAN | Path: phân công_id={{COMPLETED_ASSIGNMENT_ID}} | Body: completion_note và cùng các evidence ID</t>
  </si>
  <si>
    <t>1. POST complete lại; 2. Query bằng chứng hoàn thành và lịch sử trạng thái</t>
  </si>
  <si>
    <t>Phản hồi HTTP: error.code=INVALID_STATUS_TRANSITION. Cơ sở dữ liệu: không có attachment bằng chứng trùng; không có bản ghi lịch sử COMPLETED thứ hai.</t>
  </si>
  <si>
    <t>Complete lần hai HTTP 409, error.code=INVALID_STATUS_TRANSITION; evidence giữ 1, lịch sử COMPLETED giữ 1.</t>
  </si>
  <si>
    <t>TC-STATE-006</t>
  </si>
  <si>
    <t>Từ chối quyết định emergency review lần thứ hai sau khi P5 đã confirm/downgrade</t>
  </si>
  <si>
    <t>Lần phân tích thành công gần nhất có emergency_review_status CONFIRMED hoặc DOWNGRADED</t>
  </si>
  <si>
    <t>Vai trò: COORDINATOR | Path: ticket_id={{P5_REVIEWED_TICKET_ID}} | Body: decision=CONFIRM_P5 or DOWNGRADE_PRIORITY</t>
  </si>
  <si>
    <t>1. POST emergency-review lại; 2. Query ai_analysis_runs and audit logs</t>
  </si>
  <si>
    <t>Phản hồi HTTP: error.code=INVALID_STATUS_TRANSITION because latest successful run is no longer PENDING. Cơ sở dữ liệu: quyết định khẩn cấp ban đầu được giữ nguyên; không có audit quyết định thứ hai.</t>
  </si>
  <si>
    <t>Quyết định P5 lần hai trả HTTP 409, error.code=INVALID_STATUS_TRANSITION; DB vẫn giữ decision=CONFIRM_P5.</t>
  </si>
  <si>
    <t>TC-DB-002</t>
  </si>
  <si>
    <t>05 Dữ liệu</t>
  </si>
  <si>
    <t>Bulk visual confirm rollback toàn bộ khi một placement không hợp lệ</t>
  </si>
  <si>
    <t>Board có hai ticket có thể phân công; một placement dùng KTV không hợp lệ hoặc ticket đã cũ</t>
  </si>
  <si>
    <t>Vai trò: COORDINATOR | Body: placements=[placement hợp lệ, placement không hợp lệ]</t>
  </si>
  <si>
    <t>1. Capture phân công counts for both tickets; 2. POST bulk confirm; 3. Query phân côngs and dispatch events</t>
  </si>
  <si>
    <t>Phản hồi HTTP: error.code=VISUAL_PLACEMENT_INVALID or VISUAL_UNIT_NOT_PLACEABLE. Cơ sở dữ liệu: no tạo phân công for the valid placement either; board can be refreshed safely.</t>
  </si>
  <si>
    <t>Visual confirm gồm một placement hợp lệ và một KTV không tồn tại trả HTTP 409, error.code=VISUAL_PLACEMENT_INVALID; assignment_count A/B=0/0.</t>
  </si>
  <si>
    <t>TC-DB-003</t>
  </si>
  <si>
    <t>Các lần enqueue trùng chỉ giữ một dispatch event đang mở cho mỗi ticket</t>
  </si>
  <si>
    <t>Tự phân công đang bật; one approved resolved non-P5 ticket has no active phân công</t>
  </si>
  <si>
    <t>Vai trò: COORDINATOR | Ticket: {{APPROVED_RESOLVED_NON_P5_TICKET_ID}} | Action sources: approve/backlog/worker retry</t>
  </si>
  <si>
    <t>1. Kích hoạt enqueue từ hai luồng hoặc retry nhanh; 2. GET /api/v1/BQL/dispatch/events; 3. Query dispatch_events where ticket_id and is_open=true</t>
  </si>
  <si>
    <t>Phản hồi HTTP: một event mở hiển thị. Cơ sở dữ liệu: ràng buộc unique một phần chỉ cho phép đúng một dispatch_event đang mở cho ticket; request trùng trả về/tái sử dụng event hiện có.</t>
  </si>
  <si>
    <t>Hai lần enqueue trả cùng event_id=f976acc5-1eee-4e25-90bb-3c7b73fec29a; DB open_event_count=1; GET dispatch/events HTTP 200 hiển thị 1 event cho ticket.</t>
  </si>
  <si>
    <t>TC-DB-004</t>
  </si>
  <si>
    <t>Ticket status, phân công status và lịch sử nhất quán từ assign tới complete</t>
  </si>
  <si>
    <t>Duyệtd non-P5 ticket; eligible KTV; có upload session bằng chứng hoàn thành</t>
  </si>
  <si>
    <t>Chuỗi vai trò: COORDINATOR sau đó TECHNICIAN | Ticket={{APPROVED_TICKET_ID}}, KTV={{TECHNICIAN_ID}}</t>
  </si>
  <si>
    <t>1. BQL assigns ticket; 2. KTV bắt đầu xử lý phân công; 3. KTV completes with evidence; 4. Query ticket, phân công, ticket_status_history</t>
  </si>
  <si>
    <t>Phản hồi HTTP: final ticket status COMPLETED and phân công status COMPLETED. Cơ sở dữ liệu: status history contains APPROVED-&gt;IN_PROGRESS-&gt;COMPLETED order; phân công completed_at tồn tại; no active phân công remains.</t>
  </si>
  <si>
    <t>Ticket 344a1c11-cfc6-4eae-b804-ecc83cbebbc4: APPROVED -&gt; IN_PROGRESS -&gt; COMPLETED; assignment 2642bb62-9b56-4cd6-8604-25d8bfc823ed: ASSIGNED -&gt; IN_PROGRESS -&gt; COMPLETED, completed_at tồn tại và is_active=False.</t>
  </si>
  <si>
    <t>TC-ACCOUNT-011</t>
  </si>
  <si>
    <t>DELETE /api/v1/coordinator/accounts/technicians/{user_id}</t>
  </si>
  <si>
    <t>Từ chối xóa KTV đã có lịch sử phân công</t>
  </si>
  <si>
    <t>KTV has phân công history</t>
  </si>
  <si>
    <t>Vai trò: COORDINATOR | Tham số đường dẫn: user_id={{TECHNICIAN_USER_ID}}</t>
  </si>
  <si>
    <t>1. DELETE KTV có lịch sử; 2. Kiểm tra bị chặn</t>
  </si>
  <si>
    <t>Phản hồi: error.code=VALIDATION_ERROR or business conflict | Cơ sở dữ liệu: KTV remains active/existing | Tác động phụ: No auth delete</t>
  </si>
  <si>
    <t>DELETE KTV có lịch sử assignment trả HTTP 409, error.code=VALIDATION_ERROR; technician profile vẫn tồn tại và active=True.</t>
  </si>
  <si>
    <t>TC-STORAGE-007</t>
  </si>
  <si>
    <t>06 Tích hợp</t>
  </si>
  <si>
    <t>Storage chưa cấu hình</t>
  </si>
  <si>
    <t>Chạy backend với cấu hình storage bị thiếu trong môi trường test</t>
  </si>
  <si>
    <t>1. Tắt cấu hình storage trong môi trường test; 2. POST upload-url; 3. Kiểm tra lỗi dịch vụ</t>
  </si>
  <si>
    <t>503</t>
  </si>
  <si>
    <t>Phản hồi: error.code=STORAGE_NOT_CONFIGURED | Cơ sở dữ liệu: No committed upload session if URL cannot be được tạo | Tác động phụ: Không tạo signed URL</t>
  </si>
  <si>
    <t>API phụ khởi động với SUPABASE_STORAGE_BUCKET rỗng; POST upload-url trả HTTP 503, error.code=STORAGE_NOT_CONFIGURED.</t>
  </si>
  <si>
    <t>TC-INT-001</t>
  </si>
  <si>
    <t>Supabase Auth unavailable khi tạo resident</t>
  </si>
  <si>
    <t>Dùng staging/local với Supabase Admin được mock timeout hoặc bỏ cấu hình Supabase Admin; không dùng production</t>
  </si>
  <si>
    <t>Vai trò: COORDINATOR | Body: valid cư dân account payload | Lỗi giả lập: Supabase Admin unavailable or not configured</t>
  </si>
  <si>
    <t>1. Configure auth provider failure; 2. POST tạo cư dân; 3. Query user_profiles/cư dân_profiles</t>
  </si>
  <si>
    <t>Phản hồi HTTP: error.code=AUTH_SERVICE_UNAVAILABLE. Cơ sở dữ liệu: no partial user_profile or cư dân_profile row. Tác động phụ: no orphan auth user if auth id was được tạo before DB failure.</t>
  </si>
  <si>
    <t>POST tạo cư dân khi tắt Supabase Auth admin trả HTTP 503, code=AUTH_SERVICE_UNAVAILABLE; user_profiles 30-&gt;30, resident_profiles 20-&gt;20.</t>
  </si>
  <si>
    <t>TC-INT-003</t>
  </si>
  <si>
    <t>Tạo ticket từ chối upload session có object thiếu trong Storage</t>
  </si>
  <si>
    <t>Cư dân có upload session mới nhưng endpoint thông tin object trả về 404</t>
  </si>
  <si>
    <t>Vai trò: RESIDENT | Body: location_id={{LOCATION_ID}}, description="Missing object", attachment_upload_ids=[{{UPLOAD_SESSION_ID}}]</t>
  </si>
  <si>
    <t>1. Tạo upload URL; 2. Không tải file lên hoặc mock thông tin object trả 404; 3. POST create ticket; 4. Query tickets/attachments/upload_sessions</t>
  </si>
  <si>
    <t>Phản hồi HTTP: error.code=INVALID_ATTACHMENT. Cơ sở dữ liệu: no ticket and no attachment được tạo; upload session remains reusable/unconsumed according to current transaction.</t>
  </si>
  <si>
    <t>Fresh resident tạo signed upload HTTP 201 nhưng không PUT object; POST ticket trả HTTP 503, error.code=STORAGE_NOT_CONFIGURED; ticket_count 0-&gt;0; upload_session=pending.</t>
  </si>
  <si>
    <t>BUG-INT-001 - Object thiếu bị map sai lỗi hoặc transaction không rollback.</t>
  </si>
  <si>
    <t>TC-INT-004</t>
  </si>
  <si>
    <t>Lỗi LLM/agent không publish classification hoặc dispatch phân công dang dở</t>
  </si>
  <si>
    <t>Agent service can be forced to fail or timeout in local/staging; auto phân công may be enabled</t>
  </si>
  <si>
    <t>Vai trò: RESIDENT sau đó COORDINATOR | Flow: tạo ticket kích hoạt lỗi phân tích</t>
  </si>
  <si>
    <t>1. Tạo ticket; 2. Ép LLM hoặc agent phát sinh exception; 3. Kiểm tra khả năng hiển thị ở BQL và ai_analysis_runs; 4. Check dispatch_events</t>
  </si>
  <si>
    <t>N/A</t>
  </si>
  <si>
    <t>Cơ sở dữ liệu: latest ai_analysis_runs.status=FAILED; ticket is not auto-approved or dispatched from partial data; BQL can see retry path nếu đã triển khai by current UI/API.</t>
  </si>
  <si>
    <t>LLM timeout tạo session=FAILED, run=FAILED, error_code=RuntimeError; ticket=NEW/MANUAL_REVIEW; dispatch=0, assignment=0; BQL GET ticket HTTP 200.</t>
  </si>
  <si>
    <t>TC-COORD-015</t>
  </si>
  <si>
    <t>POST /api/v1/coordinator/tickets/{ticket_id}/analysis/retry</t>
  </si>
  <si>
    <t>Retry analysis thất bại</t>
  </si>
  <si>
    <t>Ticket có trạng thái phân tích failed/đủ điều kiện retry</t>
  </si>
  <si>
    <t>Vai trò: COORDINATOR | Tham số đường dẫn: ticket_id={{FAILED_ANALYSIS_TICKET_ID}}</t>
  </si>
  <si>
    <t>1. POST analysis retry; 2. Kiểm tra lần chạy mới đã được lên lịch</t>
  </si>
  <si>
    <t>Phản hồi: data/message indicates retry accepted | Cơ sở dữ liệu: New AIAnalysisRun/session được tạo or scheduled | Tác động phụ: Background analysis được đưa vào hàng đợi</t>
  </si>
  <si>
    <t>POST analysis/retry trả HTTP 200 (workbook mong đợi 202); AIAnalysisRun count 1-&gt;2; run mới status=SUCCEEDED, error_code=None.</t>
  </si>
  <si>
    <t>BUG-INT-003 - Retry được lên lịch nhưng endpoint trả 200 thay vì HTTP 202 theo test contract.</t>
  </si>
  <si>
    <t>TC-SEC-003</t>
  </si>
  <si>
    <t>07 Bảo mật</t>
  </si>
  <si>
    <t>Path traversal trong filename khi upload</t>
  </si>
  <si>
    <t>Vai trò: RESIDENT | Body: {"original_filename":"../secret.jpg","mime_type":"image/jpeg","file_size":1000}</t>
  </si>
  <si>
    <t>1. POST upload-url với filename có path traversal; 2. Kiểm tra bị từ chối hoặc tạo đường dẫn đã chuẩn hóa an toàn</t>
  </si>
  <si>
    <t>Phản hồi: error.code=INVALID_ATTACHMENT or generated storage path has no traversal | Cơ sở dữ liệu: No unsafe session/path committed | Tác động phụ: No unsafe signed URL</t>
  </si>
  <si>
    <t>Path traversal upload-url trả về HTTP 400; error.code=INVALID_ATTACHMENT; upload_session_count 2-&gt;2.</t>
  </si>
  <si>
    <t>TC-SEC-004</t>
  </si>
  <si>
    <t>Resident IDOR khi xem ticket</t>
  </si>
  <si>
    <t>Ticket belongs to another unit</t>
  </si>
  <si>
    <t>Vai trò: RESIDENT_OTHER | Tham số đường dẫn: ticket_id={{TICKET_ID}}</t>
  </si>
  <si>
    <t>1. GET ticket của user khác; 2. Kiểm tra không thể truy cập</t>
  </si>
  <si>
    <t>404</t>
  </si>
  <si>
    <t>Phản hồi: No ticket data leaked</t>
  </si>
  <si>
    <t>Resident B (unit 1002) GET ticket 48e11473-e1ab-4ad5-9577-8dea2bfa4b11 của resident A trả HTTP 404, error.code=TICKET_NOT_FOUND; response không có ticket data.</t>
  </si>
  <si>
    <t>TC-SEC-005</t>
  </si>
  <si>
    <t>GET /api/v1/technician/assignments/{assignment_id}</t>
  </si>
  <si>
    <t>Technician IDOR khi xem phân công</t>
  </si>
  <si>
    <t>Assignment belongs to another KTV</t>
  </si>
  <si>
    <t>Vai trò: TECHNICIAN | Tham số đường dẫn: phân công_id={{OTHER_ASSIGNMENT_ID}}</t>
  </si>
  <si>
    <t>1. GET other KTV phân công; 2. Kiểm tra không thể truy cập</t>
  </si>
  <si>
    <t>Phản hồi: No phân công data leaked</t>
  </si>
  <si>
    <t>KTV development GET assignment 06f29783-2bab-4d47-a99c-846dc20beb4a thuộc KTV khác trả HTTP 404, error.code=ASSIGNMENT_NOT_FOUND; không có assignment data.</t>
  </si>
  <si>
    <t>TC-SEC-006</t>
  </si>
  <si>
    <t>Field mass phân công bị bỏ qua hoặc từ chối</t>
  </si>
  <si>
    <t>Cư dân đang active and bound</t>
  </si>
  <si>
    <t>Vai trò: RESIDENT | Body: {"location_id":"{{LOCATION_ID}}","description":"Test mass phân công","status":"APPROVED","được tạo_by_id":"{{OTHER_USER_ID}}"}</t>
  </si>
  <si>
    <t>1. POST body có field thừa; 2. Kiểm tra bị từ chối do additionalProperties=false</t>
  </si>
  <si>
    <t>422</t>
  </si>
  <si>
    <t>Phản hồi: error.code=VALIDATION_ERROR | Cơ sở dữ liệu: No ticket được tạo with injected status/owner | Tác động phụ: No analysis được đưa vào hàng đợi if rejected</t>
  </si>
  <si>
    <t>Mass-phân công POST /tickets trả về HTTP 422; error.code=VALIDATION_ERROR; tickets_count 15-&gt;15.</t>
  </si>
  <si>
    <t>TC-SEC-008</t>
  </si>
  <si>
    <t>GET /api/v1/coordinator/tickets/{ticket_id}</t>
  </si>
  <si>
    <t>Lỗi 500 không leak secret</t>
  </si>
  <si>
    <t>Dùng môi trường test với dependency được mock để phát sinh exception ngoài dự kiến</t>
  </si>
  <si>
    <t>Vai trò: COORDINATOR | Tham số đường dẫn: ticket_id={{TICKET_ID}}</t>
  </si>
  <si>
    <t>1. Tạm thời kích hoạt mock exception an toàn ở staging/local; 2. Gửi request; 3. Kiểm tra response/log</t>
  </si>
  <si>
    <t>500</t>
  </si>
  <si>
    <t>Phản hồi: error.code=INTERNAL_ERROR; no stack trace/token/secret in response | Cơ sở dữ liệu: Transaction rolled back | Tác động phụ: Request id logged</t>
  </si>
  <si>
    <t>Kích hoạt lỗi 500 qua assign P5: HTTP 500, error.code=INTERNAL_ERROR, request_id tồn tại=True, leak_markers=[], assignment_count 0-&gt;0.</t>
  </si>
  <si>
    <t>TC-SEC-013</t>
  </si>
  <si>
    <t>Từ chối upload session thuộc resident khác</t>
  </si>
  <si>
    <t>Cư dân A has upload session; Cư dân B has active unit</t>
  </si>
  <si>
    <t>Vai trò: RESIDENT_B | Body: location_id={{LOCATION_ID}}, description="Foreign upload", attachment_upload_ids=[{{RESIDENT_A_UPLOAD_SESSION_ID}}]</t>
  </si>
  <si>
    <t>1. Cư dân A requests upload URL; 2. Cư dân B posts ticket using A upload_session_id; 3. Query tickets and attachments</t>
  </si>
  <si>
    <t>Phản hồi HTTP: error.code=INVALID_ATTACHMENT. Cơ sở dữ liệu: không có attachment ticket nào được liên kết với B; upload session của A không bị B sử dụng.</t>
  </si>
  <si>
    <t>Resident A tạo upload session HTTP 201; Resident B dùng upload_id đó tạo ticket trả HTTP 400, error.code=INVALID_ATTACHMENT; ticket_count B 0-&gt;0; session A=pending.</t>
  </si>
  <si>
    <t>TC-CONC-001</t>
  </si>
  <si>
    <t>08 Đồng thời</t>
  </si>
  <si>
    <t>Hai BQL assign cùng một ticket cùng lúc</t>
  </si>
  <si>
    <t>Duyệtd resolved non-P5 ticket with no active phân công; two eligible KTVs or same KTV available</t>
  </si>
  <si>
    <t>Vai trò: COORDINATOR x2 | Path: ticket_id={{APPROVED_TICKET_ID}} | Body A: KTV_id={{TECHNICIAN_A_ID}} | Body B: KTV_id={{TECHNICIAN_B_ID}}</t>
  </si>
  <si>
    <t>1. Gửi hai request phân công đồng thời; 2. So sánh response; 3. Query ticket_phân côngs for các bản ghi active</t>
  </si>
  <si>
    <t>200 and 409</t>
  </si>
  <si>
    <t>Một request thành công. Request còn lại trả về error.code=ACTIVE_ASSIGNMENT_EXISTS or INVALID_STATUS_TRANSITION. Cơ sở dữ liệu: only one active phân công for the ticket.</t>
  </si>
  <si>
    <t>Hai POST assign đồng thời trả [200, 409]; loser error=['ACTIVE_ASSIGNMENT_EXISTS']; DB total_assignment=1, active_assignment=1.</t>
  </si>
  <si>
    <t>TC-CONC-002</t>
  </si>
  <si>
    <t>Manual assign và visual confirm race trên cùng ticket</t>
  </si>
  <si>
    <t>Cùng một ticket non-P5 đã duyệt xuất hiện trên visual board; form phân công thủ công cũng đang mở</t>
  </si>
  <si>
    <t>Vai trò: COORDINATOR x2 | API A: POST /BQL/tickets/{ticket_id}/assign | API B: POST /BQL/visual-phân công/confirm</t>
  </si>
  <si>
    <t>1. Gửi đồng thời manual assign và visual confirm; 2. Làm mới board; 3. Query active phân công</t>
  </si>
  <si>
    <t>Chỉ một luồng thành công. Luồng còn lại trả về ACTIVE_ASSIGNMENT_EXISTS, VISUAL_UNIT_NOT_PLACEABLE or VISUAL_PLACEMENT_INVALID. Cơ sở dữ liệu: one active phân công only; board no longer shows stale ticket.</t>
  </si>
  <si>
    <t>Board HTTP 200, unit tìm thấy=True; manual/visual race trả [200, 409]; DB total_assignment=1, active=1; board sau race còn ticket=False.</t>
  </si>
  <si>
    <t>TC-CONC-003</t>
  </si>
  <si>
    <t>KTV double-click bắt đầu cùng phân công</t>
  </si>
  <si>
    <t>Assignment có status ASSIGNED và ticket có status APPROVED</t>
  </si>
  <si>
    <t>Vai trò: TECHNICIAN | Path: phân công_id={{ASSIGNED_ASSIGNMENT_ID}}</t>
  </si>
  <si>
    <t>1. Gửi hai request start đồng thời; 2. Query phân công and ticket status; 3. Check status history count</t>
  </si>
  <si>
    <t>One request succeeds and moves phân công to IN_PROGRESS. The second returns INVALID_STATUS_TRANSITION. Cơ sở dữ liệu: chỉ ghi nhận một lần chuyển sang IN_PROGRESS.</t>
  </si>
  <si>
    <t>Hai POST start đồng thời trả [200, 409]; loser error=['INVALID_STATUS_TRANSITION']; DB assignment=IN_PROGRESS, số history IN_PROGRESS=1.</t>
  </si>
  <si>
    <t>TC-CONC-004</t>
  </si>
  <si>
    <t>KTV cố bắt đầu hai phân công khác nhau cùng lúc</t>
  </si>
  <si>
    <t>KTV có hai job ASSIGNED trong hàng đợi; chỉ một job được active/in progress</t>
  </si>
  <si>
    <t>Vai trò: TECHNICIAN | Assignment A={{ASSIGNMENT_A_ID}} | Assignment B={{ASSIGNMENT_B_ID}}</t>
  </si>
  <si>
    <t>1. Gửi start requests for both phân côngs concurrently; 2. GET /api/v1/KTV/queue; 3. Query in-progress phân côngs for KTV</t>
  </si>
  <si>
    <t>At most one phân công starts. Other request returns ASSIGNMENT_NOT_AT_QUEUE_HEAD, ACTIVE_ASSIGNMENT_EXISTS or INVALID_STATUS_TRANSITION. Cơ sở dữ liệu: KTV has no more than one IN_PROGRESS phân công.</t>
  </si>
  <si>
    <t>Start hai assignment khác nhau đồng thời trả [200, 409]; trạng thái DB=['IN_PROGRESS', 'ASSIGNED']; số IN_PROGRESS của KTV=1.</t>
  </si>
  <si>
    <t>TC-CONC-005</t>
  </si>
  <si>
    <t>Hai manager cập nhật auto-phân công với cùng expected_version</t>
  </si>
  <si>
    <t>Auto-phân công thiết lậps bản ghi tồn tại với version đã biết; có hai session BQL đang mở</t>
  </si>
  <si>
    <t>Vai trò: COORDINATOR x2 | Body A/B: enabled=true, acknowledged=true, expected_version={{CURRENT_VERSION}}</t>
  </si>
  <si>
    <t>1. Gửi cả hai request PUT đồng thời; 2. GET thiết lập; 3. Query audit_logs for toggle action</t>
  </si>
  <si>
    <t>Một request thành công. Request còn lại trả về error.code=CONFLICT_VERSION. Cơ sở dữ liệu: version tăng once for the winning transition; audit is not duplicated.</t>
  </si>
  <si>
    <t>Hai PUT expected_version=17 đồng thời trả [200, 409]; loser=['CONFLICT_VERSION']; version cuối=18; audit tăng 0.</t>
  </si>
  <si>
    <t>TC-CONC-006</t>
  </si>
  <si>
    <t>Hai phân công-worker xử lý dispatch event pending mà không tạo duplicate phân công</t>
  </si>
  <si>
    <t>Môi trường test có thể chạy hai worker; có nhiều dispatch_event pending</t>
  </si>
  <si>
    <t>Workers: python -m src.workers.dispatch_worker x2 | Events: {{PENDING_DISPATCH_EVENT_IDS}}</t>
  </si>
  <si>
    <t>1. Bắt đầu hai worker cùng lúc; 2. Chờ một chu kỳ dispatch; 3. GET /api/v1/BQL/dispatch/events; 4. Query ticket_phân côngs</t>
  </si>
  <si>
    <t>Each event is claimed by one worker only. Cơ sở dữ liệu: không tạo phân công trùng per ticket; events end ASSIGNED/ESCALATED/FAILED once; no stuck CLAIMED event after expiry.</t>
  </si>
  <si>
    <t>Hai worker đồng thời báo claimed=[3, 0]; event_statuses=['ASSIGNED', 'ASSIGNED', 'ASSIGNED']; assignment_count_per_ticket={UUID('06c9e142-b2b7-4b3e-b82b-9cb8e58ec766'): 1, UUID('a3bad828-744b-44b1-96fb-504986b1ba3b'): 1, UUID('89c3a30a-c9fe-4adf-8c5e-a895337c60fe'): 1}; stuck_claimed=0.</t>
  </si>
  <si>
    <t>TC-TICKET-007</t>
  </si>
  <si>
    <t>09 Khả năng phục hồi</t>
  </si>
  <si>
    <t>Rate limit tạo ticket</t>
  </si>
  <si>
    <t>Cư dân đã vượt giới hạn tạo trong cửa sổ test</t>
  </si>
  <si>
    <t>Vai trò: RESIDENT | Body: {"location_id":"{{LOCATION_ID}}","description":"Test spam limit"}</t>
  </si>
  <si>
    <t>1. Tạo tickets đến khi đạt giới hạn; 2. Gửi thêm một request; 3. Kiểm tra giới hạn tần suất</t>
  </si>
  <si>
    <t>429</t>
  </si>
  <si>
    <t>Phản hồi: error.code=TICKET_CREATE_RATE_LIMITED | Cơ sở dữ liệu: No extra ticket được tạo after limit | Tác động phụ: No analysis được đưa vào hàng đợi for rejected request</t>
  </si>
  <si>
    <t>POST ticket sau khi resident đạt giới hạn trả HTTP 429, error.code=TICKET_CREATE_RATE_LIMITED; ticket_count 15-&gt;15; analysis_session_count 16-&gt;16.</t>
  </si>
  <si>
    <t>TC-RES-003</t>
  </si>
  <si>
    <t>Worker crash sau khi claim dispatch event được phục hồi nhờ claim expiry</t>
  </si>
  <si>
    <t>Pending dispatch_event exists; worker claim timeout can be shortened in test env</t>
  </si>
  <si>
    <t>Lệnh worker: python -m src.workers.dispatch_worker | Event={{PENDING_DISPATCH_EVENT_ID}}</t>
  </si>
  <si>
    <t>1. Let worker claim event; 2. Kill worker before close; 3. Wait past claim_expires_at; 4. Bắt đầu worker again; 5. Inspect dispatch event</t>
  </si>
  <si>
    <t>Cơ sở dữ liệu: expired CLAIMED event becomes PENDING and is retried or eventually FAILED after attempts. No ticket is lost and không tạo phân công trùng is được tạo.</t>
  </si>
  <si>
    <t>Event được seed CLAIMED hết hạn; worker report reclaimed=1; event cuối=ASSIGNED, attempt_count=2, assignment_count=1.</t>
  </si>
  <si>
    <t>TC-RES-004</t>
  </si>
  <si>
    <t>Retry visual confirm sau khi commit thành công vẫn an toàn</t>
  </si>
  <si>
    <t>First visual confirm succeeded and ticket already has active phân công</t>
  </si>
  <si>
    <t>Vai trò: COORDINATOR | Body: same placements as successful request</t>
  </si>
  <si>
    <t>1. Repeat same confirm request; 2. Làm mới board; 3. Query phân côngs for ticket</t>
  </si>
  <si>
    <t>Phản hồi HTTP: error.code=VISUAL_UNIT_NOT_PLACEABLE, VISUAL_PLACEMENT_INVALID or ACTIVE_ASSIGNMENT_EXISTS. Cơ sở dữ liệu: không tạo phân công trùng; original phân công không thay đổi.</t>
  </si>
  <si>
    <t>Visual confirm lần đầu HTTP 200; gửi lại cùng placement HTTP 409, error.code=VISUAL_PLACEMENT_INVALID; DB total_assignment=1.</t>
  </si>
  <si>
    <t>TC-PERF-001</t>
  </si>
  <si>
    <t>10 Hiệu năng</t>
  </si>
  <si>
    <t>Danh sách ticket BQL dưới tải dashboard bình thường</t>
  </si>
  <si>
    <t>Use staging-like dataset; do not run against production; use k6, Locust or JMeter</t>
  </si>
  <si>
    <t>Tải: 50 concurrent users | Thời lượng: 10 minutes | Query: page=1&amp;page_size=20 with search/status filters</t>
  </si>
  <si>
    <t>1. Run load script; 2. Capture p95/p99 latency and error rate; 3. Monitor DB CPU/connections</t>
  </si>
  <si>
    <t>Acceptance Criteria: NEEDS DEFINITION. Proposed baseline only: p95 &lt;= 1500ms, error rate &lt; 1%, no DB connection exhaustion.</t>
  </si>
  <si>
    <t>BLOCKED — performance test requires staging-like load environment and acceptance criteria are NEEDS DEFINITION. Not run against current remote Supabase-backed development environment.</t>
  </si>
  <si>
    <t>Requires load environment; not executed.</t>
  </si>
  <si>
    <t>TC-PERF-002</t>
  </si>
  <si>
    <t>Board visual phân công với nhiều ticket và KTV</t>
  </si>
  <si>
    <t>Seed 200 approved non-P5 tickets and 20 KTVs in staging-like DB</t>
  </si>
  <si>
    <t>Tải: 20 concurrent BQLs | Thời lượng: 10 minutes</t>
  </si>
  <si>
    <t>1. Run load script against board endpoint; 2. Capture p95 and response size; 3. Kiểm tra no memory spike</t>
  </si>
  <si>
    <t>Acceptance Criteria: NEEDS DEFINITION. Proposed baseline only: p95 &lt;= 2000ms and board response remains consistent.</t>
  </si>
  <si>
    <t>TC-PERF-003</t>
  </si>
  <si>
    <t>Assignment worker xử lý backlog trong thời gian kỳ vọng</t>
  </si>
  <si>
    <t>Tự phân công đang bật; seed 100 eligible dispatch events; use isolated DB</t>
  </si>
  <si>
    <t>Tải: 100 pending events | Thời lượng: until queue drains or 15 minutes</t>
  </si>
  <si>
    <t>1. Bắt đầu phân công-worker; 2. Measure events per minute; 3. Inspect assigned/escalated/failed counts</t>
  </si>
  <si>
    <t>Acceptance Criteria: NEEDS DEFINITION. Proposed baseline only: 100 events processed within 15 minutes with zero duplicate active phân côngs.</t>
  </si>
  <si>
    <t>TC-PERF-004</t>
  </si>
  <si>
    <t>Burst tạo ticket cư dân vẫn ổn định</t>
  </si>
  <si>
    <t>Use staging/local; giới hạn tần suấts accounted for; test users isolated</t>
  </si>
  <si>
    <t>Tải: 25 concurrent cư dâns | Thời lượng: 5 minutes | Body: valid text-only ticket</t>
  </si>
  <si>
    <t>1. Run load script; 2. Track 2xx/4xx/5xx split; 3. Kiểm tra rate-limit behavior separately from server errors</t>
  </si>
  <si>
    <t>Acceptance Criteria: NEEDS DEFINITION. Proposed baseline only: no 5xx from normal valid requests; rate-limited responses are expected only after configured limit.</t>
  </si>
  <si>
    <t>TC-PERF-005</t>
  </si>
  <si>
    <t>Tải polling queue của KTV</t>
  </si>
  <si>
    <t>Use staging-like queue data; no production load</t>
  </si>
  <si>
    <t>Tải: 50 KTV sessions polling every 10 seconds | Thời lượng: 10 minutes</t>
  </si>
  <si>
    <t>1. Run polling load script; 2. Capture latency/error rate; 3. Monitor DB query time</t>
  </si>
  <si>
    <t>Acceptance Criteria: NEEDS DEFINITION. Proposed baseline only: p95 &lt;= 1000ms, error rate &lt; 1%.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</si>
</sst>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1"/>
      <color rgb="FFFFFFFF"/>
      <name val="Calibri"/>
      <family val="2"/>
    </font>
    <font>
      <b/>
      <sz val="16"/>
      <color rgb="FF1F4E78"/>
      <name val="Calibri"/>
      <family val="2"/>
    </font>
    <font>
      <b/>
      <sz val="11"/>
      <color rgb="FF1F4E78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0" fontId="4" fillId="0" borderId="1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71">
    <dxf>
      <font>
        <b/>
        <color rgb="FF666666"/>
      </font>
      <fill>
        <patternFill>
          <bgColor rgb="FFE7E6E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7F6000"/>
      </font>
      <fill>
        <patternFill>
          <bgColor rgb="FFFFE699"/>
        </patternFill>
      </fill>
    </dxf>
    <dxf>
      <font>
        <b/>
        <color rgb="FF9C0006"/>
      </font>
      <fill>
        <patternFill>
          <bgColor rgb="FFF8CBAD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7F6000"/>
      </font>
      <fill>
        <patternFill>
          <bgColor rgb="FFFFE699"/>
        </patternFill>
      </fill>
    </dxf>
    <dxf>
      <font>
        <b/>
        <color rgb="FF9C0006"/>
      </font>
      <fill>
        <patternFill>
          <bgColor rgb="FFF8CBAD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7F6000"/>
      </font>
      <fill>
        <patternFill>
          <bgColor rgb="FFFFE699"/>
        </patternFill>
      </fill>
    </dxf>
    <dxf>
      <font>
        <b/>
        <color rgb="FF9C0006"/>
      </font>
      <fill>
        <patternFill>
          <bgColor rgb="FFF8CBAD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7F6000"/>
      </font>
      <fill>
        <patternFill>
          <bgColor rgb="FFFFE699"/>
        </patternFill>
      </fill>
    </dxf>
    <dxf>
      <font>
        <b/>
        <color rgb="FF9C0006"/>
      </font>
      <fill>
        <patternFill>
          <bgColor rgb="FFF8CBAD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7F6000"/>
      </font>
      <fill>
        <patternFill>
          <bgColor rgb="FFFFE699"/>
        </patternFill>
      </fill>
    </dxf>
    <dxf>
      <font>
        <b/>
        <color rgb="FF9C0006"/>
      </font>
      <fill>
        <patternFill>
          <bgColor rgb="FFF8CBAD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7F6000"/>
      </font>
      <fill>
        <patternFill>
          <bgColor rgb="FFFFE699"/>
        </patternFill>
      </fill>
    </dxf>
    <dxf>
      <font>
        <b/>
        <color rgb="FF9C0006"/>
      </font>
      <fill>
        <patternFill>
          <bgColor rgb="FFF8CBAD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7F6000"/>
      </font>
      <fill>
        <patternFill>
          <bgColor rgb="FFFFE699"/>
        </patternFill>
      </fill>
    </dxf>
    <dxf>
      <font>
        <b/>
        <color rgb="FF9C0006"/>
      </font>
      <fill>
        <patternFill>
          <bgColor rgb="FFF8CBAD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7F6000"/>
      </font>
      <fill>
        <patternFill>
          <bgColor rgb="FFFFE699"/>
        </patternFill>
      </fill>
    </dxf>
    <dxf>
      <font>
        <b/>
        <color rgb="FF9C0006"/>
      </font>
      <fill>
        <patternFill>
          <bgColor rgb="FFF8CBAD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7F6000"/>
      </font>
      <fill>
        <patternFill>
          <bgColor rgb="FFFFE699"/>
        </patternFill>
      </fill>
    </dxf>
    <dxf>
      <font>
        <b/>
        <color rgb="FF9C0006"/>
      </font>
      <fill>
        <patternFill>
          <bgColor rgb="FFF8CBAD"/>
        </patternFill>
      </fill>
    </dxf>
    <dxf>
      <font>
        <b/>
        <color rgb="FF666666"/>
      </font>
      <fill>
        <patternFill>
          <bgColor rgb="FFE7E6E6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b/>
        <color rgb="FF7F6000"/>
      </font>
      <fill>
        <patternFill>
          <bgColor rgb="FFFFE699"/>
        </patternFill>
      </fill>
    </dxf>
    <dxf>
      <font>
        <b/>
        <color rgb="FF9C0006"/>
      </font>
      <fill>
        <patternFill>
          <bgColor rgb="FFF8CBAD"/>
        </patternFill>
      </fill>
    </dxf>
    <dxf>
      <fill>
        <patternFill>
          <b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showGridLines="0" workbookViewId="0"/>
  </sheetViews>
  <sheetFormatPr defaultRowHeight="14.25" x14ac:dyDescent="0.45"/>
  <cols>
    <col min="1" max="1" width="30" customWidth="1"/>
    <col min="2" max="7" width="14" customWidth="1"/>
  </cols>
  <sheetData>
    <row r="1" spans="1:7" ht="63" customHeight="1" x14ac:dyDescent="0.45">
      <c r="A1" s="1" t="s">
        <v>0</v>
      </c>
      <c r="B1" s="2"/>
      <c r="C1" s="2"/>
      <c r="D1" s="2"/>
      <c r="E1" s="2"/>
      <c r="F1" s="2"/>
      <c r="G1" s="2"/>
    </row>
    <row r="2" spans="1:7" x14ac:dyDescent="0.45">
      <c r="A2" s="2"/>
      <c r="B2" s="2"/>
      <c r="C2" s="2"/>
      <c r="D2" s="2"/>
      <c r="E2" s="2"/>
      <c r="F2" s="2"/>
      <c r="G2" s="2"/>
    </row>
    <row r="3" spans="1:7" x14ac:dyDescent="0.45">
      <c r="A3" s="3" t="s">
        <v>1</v>
      </c>
      <c r="B3" s="2"/>
      <c r="C3" s="2"/>
      <c r="D3" s="2"/>
      <c r="E3" s="2"/>
      <c r="F3" s="2"/>
      <c r="G3" s="2"/>
    </row>
    <row r="4" spans="1:7" x14ac:dyDescent="0.45">
      <c r="A4" s="2" t="s">
        <v>2</v>
      </c>
      <c r="B4" s="4">
        <f>SUM(COUNTA('01_API_Chuc_Nang'!$A:$A)-1,COUNTA('02_Xac_Thuc_Phan_Quyen'!$A:$A)-1,COUNTA('03_Luong_Nghiep_Vu'!$A:$A)-1,COUNTA('04_Chuyen_Trang_Thai'!$A:$A)-1,COUNTA('05_Du_Lieu'!$A:$A)-1,COUNTA('06_Tich_Hop'!$A:$A)-1,COUNTA('07_Bao_Mat'!$A:$A)-1,COUNTA('08_Dong_Thoi'!$A:$A)-1,COUNTA('09_Kha_Nang_Phu_Hoi'!$A:$A)-1,COUNTA('10_Hieu_Nang'!$A:$A)-1)</f>
        <v>76</v>
      </c>
      <c r="C4" s="2"/>
      <c r="D4" s="2"/>
      <c r="E4" s="2"/>
      <c r="F4" s="2"/>
      <c r="G4" s="2"/>
    </row>
    <row r="5" spans="1:7" x14ac:dyDescent="0.45">
      <c r="A5" s="2" t="s">
        <v>3</v>
      </c>
      <c r="B5" s="4">
        <f>SUM(COUNTIF('01_API_Chuc_Nang'!$L:$L,"PASS"),COUNTIF('02_Xac_Thuc_Phan_Quyen'!$L:$L,"PASS"),COUNTIF('03_Luong_Nghiep_Vu'!$L:$L,"PASS"),COUNTIF('04_Chuyen_Trang_Thai'!$L:$L,"PASS"),COUNTIF('05_Du_Lieu'!$L:$L,"PASS"),COUNTIF('06_Tich_Hop'!$L:$L,"PASS"),COUNTIF('07_Bao_Mat'!$L:$L,"PASS"),COUNTIF('08_Dong_Thoi'!$L:$L,"PASS"),COUNTIF('09_Kha_Nang_Phu_Hoi'!$L:$L,"PASS"),COUNTIF('10_Hieu_Nang'!$L:$L,"PASS"))</f>
        <v>66</v>
      </c>
      <c r="C5" s="2"/>
      <c r="D5" s="2"/>
      <c r="E5" s="2"/>
      <c r="F5" s="2"/>
      <c r="G5" s="2"/>
    </row>
    <row r="6" spans="1:7" x14ac:dyDescent="0.45">
      <c r="A6" s="2" t="s">
        <v>4</v>
      </c>
      <c r="B6" s="4">
        <f>SUM(COUNTIF('01_API_Chuc_Nang'!$L:$L,"FAIL"),COUNTIF('02_Xac_Thuc_Phan_Quyen'!$L:$L,"FAIL"),COUNTIF('03_Luong_Nghiep_Vu'!$L:$L,"FAIL"),COUNTIF('04_Chuyen_Trang_Thai'!$L:$L,"FAIL"),COUNTIF('05_Du_Lieu'!$L:$L,"FAIL"),COUNTIF('06_Tich_Hop'!$L:$L,"FAIL"),COUNTIF('07_Bao_Mat'!$L:$L,"FAIL"),COUNTIF('08_Dong_Thoi'!$L:$L,"FAIL"),COUNTIF('09_Kha_Nang_Phu_Hoi'!$L:$L,"FAIL"),COUNTIF('10_Hieu_Nang'!$L:$L,"FAIL"))</f>
        <v>5</v>
      </c>
      <c r="C6" s="2"/>
      <c r="D6" s="2"/>
      <c r="E6" s="2"/>
      <c r="F6" s="2"/>
      <c r="G6" s="2"/>
    </row>
    <row r="7" spans="1:7" x14ac:dyDescent="0.45">
      <c r="A7" s="2" t="s">
        <v>5</v>
      </c>
      <c r="B7" s="4">
        <f>SUM(COUNTIF('01_API_Chuc_Nang'!$L:$L,"BLOCKED"),COUNTIF('02_Xac_Thuc_Phan_Quyen'!$L:$L,"BLOCKED"),COUNTIF('03_Luong_Nghiep_Vu'!$L:$L,"BLOCKED"),COUNTIF('04_Chuyen_Trang_Thai'!$L:$L,"BLOCKED"),COUNTIF('05_Du_Lieu'!$L:$L,"BLOCKED"),COUNTIF('06_Tich_Hop'!$L:$L,"BLOCKED"),COUNTIF('07_Bao_Mat'!$L:$L,"BLOCKED"),COUNTIF('08_Dong_Thoi'!$L:$L,"BLOCKED"),COUNTIF('09_Kha_Nang_Phu_Hoi'!$L:$L,"BLOCKED"),COUNTIF('10_Hieu_Nang'!$L:$L,"BLOCKED"))</f>
        <v>5</v>
      </c>
      <c r="C7" s="2"/>
      <c r="D7" s="2"/>
      <c r="E7" s="2"/>
      <c r="F7" s="2"/>
      <c r="G7" s="2"/>
    </row>
    <row r="8" spans="1:7" x14ac:dyDescent="0.45">
      <c r="A8" s="2" t="s">
        <v>6</v>
      </c>
      <c r="B8" s="4">
        <f>SUM(COUNTIF('01_API_Chuc_Nang'!$L:$L,"NOT RUN"),COUNTIF('02_Xac_Thuc_Phan_Quyen'!$L:$L,"NOT RUN"),COUNTIF('03_Luong_Nghiep_Vu'!$L:$L,"NOT RUN"),COUNTIF('04_Chuyen_Trang_Thai'!$L:$L,"NOT RUN"),COUNTIF('05_Du_Lieu'!$L:$L,"NOT RUN"),COUNTIF('06_Tich_Hop'!$L:$L,"NOT RUN"),COUNTIF('07_Bao_Mat'!$L:$L,"NOT RUN"),COUNTIF('08_Dong_Thoi'!$L:$L,"NOT RUN"),COUNTIF('09_Kha_Nang_Phu_Hoi'!$L:$L,"NOT RUN"),COUNTIF('10_Hieu_Nang'!$L:$L,"NOT RUN"))</f>
        <v>0</v>
      </c>
      <c r="C8" s="2"/>
      <c r="D8" s="2"/>
      <c r="E8" s="2"/>
      <c r="F8" s="2"/>
      <c r="G8" s="2"/>
    </row>
    <row r="9" spans="1:7" x14ac:dyDescent="0.45">
      <c r="A9" s="2" t="s">
        <v>7</v>
      </c>
      <c r="B9" s="5">
        <f>IF(B4=0,0,B5/B4)</f>
        <v>0.86842105263157898</v>
      </c>
      <c r="C9" s="2"/>
      <c r="D9" s="2"/>
      <c r="E9" s="2"/>
      <c r="F9" s="2"/>
      <c r="G9" s="2"/>
    </row>
    <row r="10" spans="1:7" x14ac:dyDescent="0.45">
      <c r="A10" s="2"/>
      <c r="B10" s="2"/>
      <c r="C10" s="2"/>
      <c r="D10" s="2"/>
      <c r="E10" s="2"/>
      <c r="F10" s="2"/>
      <c r="G10" s="2"/>
    </row>
    <row r="11" spans="1:7" x14ac:dyDescent="0.45">
      <c r="A11" s="3" t="s">
        <v>8</v>
      </c>
      <c r="B11" s="2"/>
      <c r="C11" s="2"/>
      <c r="D11" s="2"/>
      <c r="E11" s="2"/>
      <c r="F11" s="2"/>
      <c r="G11" s="2"/>
    </row>
    <row r="12" spans="1:7" x14ac:dyDescent="0.45">
      <c r="A12" s="2" t="s">
        <v>9</v>
      </c>
      <c r="B12" s="4">
        <f>SUM(COUNTIF('01_API_Chuc_Nang'!$E:$E,"P0"),COUNTIF('02_Xac_Thuc_Phan_Quyen'!$E:$E,"P0"),COUNTIF('03_Luong_Nghiep_Vu'!$E:$E,"P0"),COUNTIF('04_Chuyen_Trang_Thai'!$E:$E,"P0"),COUNTIF('05_Du_Lieu'!$E:$E,"P0"),COUNTIF('06_Tich_Hop'!$E:$E,"P0"),COUNTIF('07_Bao_Mat'!$E:$E,"P0"),COUNTIF('08_Dong_Thoi'!$E:$E,"P0"),COUNTIF('09_Kha_Nang_Phu_Hoi'!$E:$E,"P0"),COUNTIF('10_Hieu_Nang'!$E:$E,"P0"))</f>
        <v>34</v>
      </c>
      <c r="C12" s="2"/>
      <c r="D12" s="2"/>
      <c r="E12" s="2"/>
      <c r="F12" s="2"/>
      <c r="G12" s="2"/>
    </row>
    <row r="13" spans="1:7" x14ac:dyDescent="0.45">
      <c r="A13" s="2" t="s">
        <v>10</v>
      </c>
      <c r="B13" s="4">
        <f>SUM(COUNTIF('01_API_Chuc_Nang'!$E:$E,"P1"),COUNTIF('02_Xac_Thuc_Phan_Quyen'!$E:$E,"P1"),COUNTIF('03_Luong_Nghiep_Vu'!$E:$E,"P1"),COUNTIF('04_Chuyen_Trang_Thai'!$E:$E,"P1"),COUNTIF('05_Du_Lieu'!$E:$E,"P1"),COUNTIF('06_Tich_Hop'!$E:$E,"P1"),COUNTIF('07_Bao_Mat'!$E:$E,"P1"),COUNTIF('08_Dong_Thoi'!$E:$E,"P1"),COUNTIF('09_Kha_Nang_Phu_Hoi'!$E:$E,"P1"),COUNTIF('10_Hieu_Nang'!$E:$E,"P1"))</f>
        <v>39</v>
      </c>
      <c r="C13" s="2"/>
      <c r="D13" s="2"/>
      <c r="E13" s="2"/>
      <c r="F13" s="2"/>
      <c r="G13" s="2"/>
    </row>
    <row r="14" spans="1:7" x14ac:dyDescent="0.45">
      <c r="A14" s="2" t="s">
        <v>11</v>
      </c>
      <c r="B14" s="4">
        <f>SUM(COUNTIF('01_API_Chuc_Nang'!$E:$E,"P2"),COUNTIF('02_Xac_Thuc_Phan_Quyen'!$E:$E,"P2"),COUNTIF('03_Luong_Nghiep_Vu'!$E:$E,"P2"),COUNTIF('04_Chuyen_Trang_Thai'!$E:$E,"P2"),COUNTIF('05_Du_Lieu'!$E:$E,"P2"),COUNTIF('06_Tich_Hop'!$E:$E,"P2"),COUNTIF('07_Bao_Mat'!$E:$E,"P2"),COUNTIF('08_Dong_Thoi'!$E:$E,"P2"),COUNTIF('09_Kha_Nang_Phu_Hoi'!$E:$E,"P2"),COUNTIF('10_Hieu_Nang'!$E:$E,"P2"))</f>
        <v>3</v>
      </c>
      <c r="C14" s="2"/>
      <c r="D14" s="2"/>
      <c r="E14" s="2"/>
      <c r="F14" s="2"/>
      <c r="G14" s="2"/>
    </row>
    <row r="15" spans="1:7" x14ac:dyDescent="0.45">
      <c r="A15" s="2"/>
      <c r="B15" s="2"/>
      <c r="C15" s="2"/>
      <c r="D15" s="2"/>
      <c r="E15" s="2"/>
      <c r="F15" s="2"/>
      <c r="G15" s="2"/>
    </row>
    <row r="16" spans="1:7" x14ac:dyDescent="0.45">
      <c r="A16" s="6" t="s">
        <v>12</v>
      </c>
      <c r="B16" s="6" t="s">
        <v>13</v>
      </c>
      <c r="C16" s="6" t="s">
        <v>3</v>
      </c>
      <c r="D16" s="6" t="s">
        <v>4</v>
      </c>
      <c r="E16" s="6" t="s">
        <v>5</v>
      </c>
      <c r="F16" s="6" t="s">
        <v>6</v>
      </c>
      <c r="G16" s="6" t="s">
        <v>7</v>
      </c>
    </row>
    <row r="17" spans="1:7" x14ac:dyDescent="0.45">
      <c r="A17" s="2" t="s">
        <v>14</v>
      </c>
      <c r="B17" s="2">
        <f>COUNTA('01_API_Chuc_Nang'!$A:$A)-1</f>
        <v>21</v>
      </c>
      <c r="C17" s="2">
        <f>COUNTIF('01_API_Chuc_Nang'!$L:$L,"PASS")</f>
        <v>21</v>
      </c>
      <c r="D17" s="2">
        <f>COUNTIF('01_API_Chuc_Nang'!$L:$L,"FAIL")</f>
        <v>0</v>
      </c>
      <c r="E17" s="2">
        <f>COUNTIF('01_API_Chuc_Nang'!$L:$L,"BLOCKED")</f>
        <v>0</v>
      </c>
      <c r="F17" s="2">
        <f>COUNTIF('01_API_Chuc_Nang'!$L:$L,"NOT RUN")</f>
        <v>0</v>
      </c>
      <c r="G17" s="7">
        <f t="shared" ref="G17:G26" si="0">IF(B17=0,0,C17/B17)</f>
        <v>1</v>
      </c>
    </row>
    <row r="18" spans="1:7" x14ac:dyDescent="0.45">
      <c r="A18" s="2" t="s">
        <v>15</v>
      </c>
      <c r="B18" s="2">
        <f>COUNTA('02_Xac_Thuc_Phan_Quyen'!$A:$A)-1</f>
        <v>7</v>
      </c>
      <c r="C18" s="2">
        <f>COUNTIF('02_Xac_Thuc_Phan_Quyen'!$L:$L,"PASS")</f>
        <v>7</v>
      </c>
      <c r="D18" s="2">
        <f>COUNTIF('02_Xac_Thuc_Phan_Quyen'!$L:$L,"FAIL")</f>
        <v>0</v>
      </c>
      <c r="E18" s="2">
        <f>COUNTIF('02_Xac_Thuc_Phan_Quyen'!$L:$L,"BLOCKED")</f>
        <v>0</v>
      </c>
      <c r="F18" s="2">
        <f>COUNTIF('02_Xac_Thuc_Phan_Quyen'!$L:$L,"NOT RUN")</f>
        <v>0</v>
      </c>
      <c r="G18" s="7">
        <f t="shared" si="0"/>
        <v>1</v>
      </c>
    </row>
    <row r="19" spans="1:7" x14ac:dyDescent="0.45">
      <c r="A19" s="2" t="s">
        <v>16</v>
      </c>
      <c r="B19" s="2">
        <f>COUNTA('03_Luong_Nghiep_Vu'!$A:$A)-1</f>
        <v>8</v>
      </c>
      <c r="C19" s="2">
        <f>COUNTIF('03_Luong_Nghiep_Vu'!$L:$L,"PASS")</f>
        <v>7</v>
      </c>
      <c r="D19" s="2">
        <f>COUNTIF('03_Luong_Nghiep_Vu'!$L:$L,"FAIL")</f>
        <v>1</v>
      </c>
      <c r="E19" s="2">
        <f>COUNTIF('03_Luong_Nghiep_Vu'!$L:$L,"BLOCKED")</f>
        <v>0</v>
      </c>
      <c r="F19" s="2">
        <f>COUNTIF('03_Luong_Nghiep_Vu'!$L:$L,"NOT RUN")</f>
        <v>0</v>
      </c>
      <c r="G19" s="7">
        <f t="shared" si="0"/>
        <v>0.875</v>
      </c>
    </row>
    <row r="20" spans="1:7" x14ac:dyDescent="0.45">
      <c r="A20" s="2" t="s">
        <v>17</v>
      </c>
      <c r="B20" s="2">
        <f>COUNTA('04_Chuyen_Trang_Thai'!$A:$A)-1</f>
        <v>11</v>
      </c>
      <c r="C20" s="2">
        <f>COUNTIF('04_Chuyen_Trang_Thai'!$L:$L,"PASS")</f>
        <v>9</v>
      </c>
      <c r="D20" s="2">
        <f>COUNTIF('04_Chuyen_Trang_Thai'!$L:$L,"FAIL")</f>
        <v>2</v>
      </c>
      <c r="E20" s="2">
        <f>COUNTIF('04_Chuyen_Trang_Thai'!$L:$L,"BLOCKED")</f>
        <v>0</v>
      </c>
      <c r="F20" s="2">
        <f>COUNTIF('04_Chuyen_Trang_Thai'!$L:$L,"NOT RUN")</f>
        <v>0</v>
      </c>
      <c r="G20" s="7">
        <f t="shared" si="0"/>
        <v>0.81818181818181823</v>
      </c>
    </row>
    <row r="21" spans="1:7" x14ac:dyDescent="0.45">
      <c r="A21" s="2" t="s">
        <v>18</v>
      </c>
      <c r="B21" s="2">
        <f>COUNTA('05_Du_Lieu'!$A:$A)-1</f>
        <v>4</v>
      </c>
      <c r="C21" s="2">
        <f>COUNTIF('05_Du_Lieu'!$L:$L,"PASS")</f>
        <v>4</v>
      </c>
      <c r="D21" s="2">
        <f>COUNTIF('05_Du_Lieu'!$L:$L,"FAIL")</f>
        <v>0</v>
      </c>
      <c r="E21" s="2">
        <f>COUNTIF('05_Du_Lieu'!$L:$L,"BLOCKED")</f>
        <v>0</v>
      </c>
      <c r="F21" s="2">
        <f>COUNTIF('05_Du_Lieu'!$L:$L,"NOT RUN")</f>
        <v>0</v>
      </c>
      <c r="G21" s="7">
        <f t="shared" si="0"/>
        <v>1</v>
      </c>
    </row>
    <row r="22" spans="1:7" x14ac:dyDescent="0.45">
      <c r="A22" s="2" t="s">
        <v>19</v>
      </c>
      <c r="B22" s="2">
        <f>COUNTA('06_Tich_Hop'!$A:$A)-1</f>
        <v>5</v>
      </c>
      <c r="C22" s="2">
        <f>COUNTIF('06_Tich_Hop'!$L:$L,"PASS")</f>
        <v>3</v>
      </c>
      <c r="D22" s="2">
        <f>COUNTIF('06_Tich_Hop'!$L:$L,"FAIL")</f>
        <v>2</v>
      </c>
      <c r="E22" s="2">
        <f>COUNTIF('06_Tich_Hop'!$L:$L,"BLOCKED")</f>
        <v>0</v>
      </c>
      <c r="F22" s="2">
        <f>COUNTIF('06_Tich_Hop'!$L:$L,"NOT RUN")</f>
        <v>0</v>
      </c>
      <c r="G22" s="7">
        <f t="shared" si="0"/>
        <v>0.6</v>
      </c>
    </row>
    <row r="23" spans="1:7" x14ac:dyDescent="0.45">
      <c r="A23" s="2" t="s">
        <v>20</v>
      </c>
      <c r="B23" s="2">
        <f>COUNTA('07_Bao_Mat'!$A:$A)-1</f>
        <v>6</v>
      </c>
      <c r="C23" s="2">
        <f>COUNTIF('07_Bao_Mat'!$L:$L,"PASS")</f>
        <v>6</v>
      </c>
      <c r="D23" s="2">
        <f>COUNTIF('07_Bao_Mat'!$L:$L,"FAIL")</f>
        <v>0</v>
      </c>
      <c r="E23" s="2">
        <f>COUNTIF('07_Bao_Mat'!$L:$L,"BLOCKED")</f>
        <v>0</v>
      </c>
      <c r="F23" s="2">
        <f>COUNTIF('07_Bao_Mat'!$L:$L,"NOT RUN")</f>
        <v>0</v>
      </c>
      <c r="G23" s="7">
        <f t="shared" si="0"/>
        <v>1</v>
      </c>
    </row>
    <row r="24" spans="1:7" x14ac:dyDescent="0.45">
      <c r="A24" s="2" t="s">
        <v>21</v>
      </c>
      <c r="B24" s="2">
        <f>COUNTA('08_Dong_Thoi'!$A:$A)-1</f>
        <v>6</v>
      </c>
      <c r="C24" s="2">
        <f>COUNTIF('08_Dong_Thoi'!$L:$L,"PASS")</f>
        <v>6</v>
      </c>
      <c r="D24" s="2">
        <f>COUNTIF('08_Dong_Thoi'!$L:$L,"FAIL")</f>
        <v>0</v>
      </c>
      <c r="E24" s="2">
        <f>COUNTIF('08_Dong_Thoi'!$L:$L,"BLOCKED")</f>
        <v>0</v>
      </c>
      <c r="F24" s="2">
        <f>COUNTIF('08_Dong_Thoi'!$L:$L,"NOT RUN")</f>
        <v>0</v>
      </c>
      <c r="G24" s="7">
        <f t="shared" si="0"/>
        <v>1</v>
      </c>
    </row>
    <row r="25" spans="1:7" x14ac:dyDescent="0.45">
      <c r="A25" s="2" t="s">
        <v>22</v>
      </c>
      <c r="B25" s="2">
        <f>COUNTA('09_Kha_Nang_Phu_Hoi'!$A:$A)-1</f>
        <v>3</v>
      </c>
      <c r="C25" s="2">
        <f>COUNTIF('09_Kha_Nang_Phu_Hoi'!$L:$L,"PASS")</f>
        <v>3</v>
      </c>
      <c r="D25" s="2">
        <f>COUNTIF('09_Kha_Nang_Phu_Hoi'!$L:$L,"FAIL")</f>
        <v>0</v>
      </c>
      <c r="E25" s="2">
        <f>COUNTIF('09_Kha_Nang_Phu_Hoi'!$L:$L,"BLOCKED")</f>
        <v>0</v>
      </c>
      <c r="F25" s="2">
        <f>COUNTIF('09_Kha_Nang_Phu_Hoi'!$L:$L,"NOT RUN")</f>
        <v>0</v>
      </c>
      <c r="G25" s="7">
        <f t="shared" si="0"/>
        <v>1</v>
      </c>
    </row>
    <row r="26" spans="1:7" x14ac:dyDescent="0.45">
      <c r="A26" s="2" t="s">
        <v>23</v>
      </c>
      <c r="B26" s="2">
        <f>COUNTA('10_Hieu_Nang'!$A:$A)-1</f>
        <v>5</v>
      </c>
      <c r="C26" s="2">
        <f>COUNTIF('10_Hieu_Nang'!$L:$L,"PASS")</f>
        <v>0</v>
      </c>
      <c r="D26" s="2">
        <f>COUNTIF('10_Hieu_Nang'!$L:$L,"FAIL")</f>
        <v>0</v>
      </c>
      <c r="E26" s="2">
        <f>COUNTIF('10_Hieu_Nang'!$L:$L,"BLOCKED")</f>
        <v>5</v>
      </c>
      <c r="F26" s="2">
        <f>COUNTIF('10_Hieu_Nang'!$L:$L,"NOT RUN")</f>
        <v>0</v>
      </c>
      <c r="G26" s="7">
        <f t="shared" si="0"/>
        <v>0</v>
      </c>
    </row>
  </sheetData>
  <conditionalFormatting sqref="B5:F8">
    <cfRule type="expression" dxfId="70" priority="1">
      <formula>B5&gt;0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topLeftCell="G1" workbookViewId="0">
      <selection activeCell="K9" sqref="K9"/>
    </sheetView>
  </sheetViews>
  <sheetFormatPr defaultRowHeight="14.25" x14ac:dyDescent="0.45"/>
  <cols>
    <col min="1" max="1" width="18" customWidth="1"/>
    <col min="2" max="2" width="24" customWidth="1"/>
    <col min="3" max="4" width="34" customWidth="1"/>
    <col min="5" max="5" width="10" customWidth="1"/>
    <col min="6" max="6" width="34" customWidth="1"/>
    <col min="7" max="7" width="42" customWidth="1"/>
    <col min="8" max="8" width="44" customWidth="1"/>
    <col min="9" max="9" width="16" customWidth="1"/>
    <col min="10" max="10" width="50" customWidth="1"/>
    <col min="11" max="11" width="28" customWidth="1"/>
    <col min="12" max="12" width="16" customWidth="1"/>
    <col min="13" max="13" width="28" customWidth="1"/>
  </cols>
  <sheetData>
    <row r="1" spans="1:13" x14ac:dyDescent="0.45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</row>
    <row r="2" spans="1:13" ht="18" customHeight="1" x14ac:dyDescent="0.45">
      <c r="A2" s="9" t="s">
        <v>37</v>
      </c>
      <c r="B2" s="9" t="s">
        <v>38</v>
      </c>
      <c r="C2" s="9" t="s">
        <v>39</v>
      </c>
      <c r="D2" s="9" t="s">
        <v>40</v>
      </c>
      <c r="E2" s="9" t="s">
        <v>11</v>
      </c>
      <c r="F2" s="9" t="s">
        <v>41</v>
      </c>
      <c r="G2" s="9" t="s">
        <v>42</v>
      </c>
      <c r="H2" s="9" t="s">
        <v>43</v>
      </c>
      <c r="I2" s="9" t="s">
        <v>44</v>
      </c>
      <c r="J2" s="9" t="s">
        <v>45</v>
      </c>
      <c r="K2" s="9" t="s">
        <v>46</v>
      </c>
      <c r="L2" s="11" t="s">
        <v>3</v>
      </c>
      <c r="M2" s="9"/>
    </row>
    <row r="3" spans="1:13" ht="18" customHeight="1" x14ac:dyDescent="0.45">
      <c r="A3" s="9" t="s">
        <v>47</v>
      </c>
      <c r="B3" s="9" t="s">
        <v>38</v>
      </c>
      <c r="C3" s="9" t="s">
        <v>48</v>
      </c>
      <c r="D3" s="9" t="s">
        <v>49</v>
      </c>
      <c r="E3" s="9" t="s">
        <v>11</v>
      </c>
      <c r="F3" s="9" t="s">
        <v>50</v>
      </c>
      <c r="G3" s="9" t="s">
        <v>42</v>
      </c>
      <c r="H3" s="9" t="s">
        <v>51</v>
      </c>
      <c r="I3" s="9" t="s">
        <v>44</v>
      </c>
      <c r="J3" s="9" t="s">
        <v>52</v>
      </c>
      <c r="K3" s="9" t="s">
        <v>53</v>
      </c>
      <c r="L3" s="11" t="s">
        <v>3</v>
      </c>
      <c r="M3" s="9"/>
    </row>
    <row r="4" spans="1:13" ht="18" customHeight="1" x14ac:dyDescent="0.45">
      <c r="A4" s="9" t="s">
        <v>54</v>
      </c>
      <c r="B4" s="9" t="s">
        <v>38</v>
      </c>
      <c r="C4" s="9" t="s">
        <v>55</v>
      </c>
      <c r="D4" s="9" t="s">
        <v>56</v>
      </c>
      <c r="E4" s="9" t="s">
        <v>10</v>
      </c>
      <c r="F4" s="9" t="s">
        <v>57</v>
      </c>
      <c r="G4" s="9" t="s">
        <v>58</v>
      </c>
      <c r="H4" s="9" t="s">
        <v>59</v>
      </c>
      <c r="I4" s="9" t="s">
        <v>60</v>
      </c>
      <c r="J4" s="9" t="s">
        <v>61</v>
      </c>
      <c r="K4" s="10" t="s">
        <v>62</v>
      </c>
      <c r="L4" s="11" t="s">
        <v>3</v>
      </c>
      <c r="M4" s="9"/>
    </row>
    <row r="5" spans="1:13" ht="18" customHeight="1" x14ac:dyDescent="0.45">
      <c r="A5" s="9" t="s">
        <v>63</v>
      </c>
      <c r="B5" s="9" t="s">
        <v>38</v>
      </c>
      <c r="C5" s="9" t="s">
        <v>64</v>
      </c>
      <c r="D5" s="9" t="s">
        <v>65</v>
      </c>
      <c r="E5" s="9" t="s">
        <v>10</v>
      </c>
      <c r="F5" s="9" t="s">
        <v>66</v>
      </c>
      <c r="G5" s="9" t="s">
        <v>67</v>
      </c>
      <c r="H5" s="9" t="s">
        <v>68</v>
      </c>
      <c r="I5" s="9" t="s">
        <v>60</v>
      </c>
      <c r="J5" s="9" t="s">
        <v>69</v>
      </c>
      <c r="K5" s="10" t="s">
        <v>70</v>
      </c>
      <c r="L5" s="11" t="s">
        <v>3</v>
      </c>
      <c r="M5" s="9"/>
    </row>
    <row r="6" spans="1:13" ht="18" customHeight="1" x14ac:dyDescent="0.45">
      <c r="A6" s="9" t="s">
        <v>71</v>
      </c>
      <c r="B6" s="9" t="s">
        <v>38</v>
      </c>
      <c r="C6" s="9" t="s">
        <v>72</v>
      </c>
      <c r="D6" s="9" t="s">
        <v>73</v>
      </c>
      <c r="E6" s="9" t="s">
        <v>9</v>
      </c>
      <c r="F6" s="9" t="s">
        <v>74</v>
      </c>
      <c r="G6" s="9" t="s">
        <v>75</v>
      </c>
      <c r="H6" s="9" t="s">
        <v>76</v>
      </c>
      <c r="I6" s="9" t="s">
        <v>77</v>
      </c>
      <c r="J6" s="9" t="s">
        <v>78</v>
      </c>
      <c r="K6" s="10" t="s">
        <v>79</v>
      </c>
      <c r="L6" s="11" t="s">
        <v>3</v>
      </c>
      <c r="M6" s="9"/>
    </row>
    <row r="7" spans="1:13" ht="18" customHeight="1" x14ac:dyDescent="0.45">
      <c r="A7" s="9" t="s">
        <v>80</v>
      </c>
      <c r="B7" s="9" t="s">
        <v>38</v>
      </c>
      <c r="C7" s="9" t="s">
        <v>72</v>
      </c>
      <c r="D7" s="9" t="s">
        <v>81</v>
      </c>
      <c r="E7" s="9" t="s">
        <v>9</v>
      </c>
      <c r="F7" s="9" t="s">
        <v>82</v>
      </c>
      <c r="G7" s="9" t="s">
        <v>83</v>
      </c>
      <c r="H7" s="9" t="s">
        <v>84</v>
      </c>
      <c r="I7" s="9" t="s">
        <v>77</v>
      </c>
      <c r="J7" s="9" t="s">
        <v>85</v>
      </c>
      <c r="K7" s="10" t="s">
        <v>86</v>
      </c>
      <c r="L7" s="11" t="s">
        <v>3</v>
      </c>
      <c r="M7" s="9"/>
    </row>
    <row r="8" spans="1:13" ht="18" customHeight="1" x14ac:dyDescent="0.45">
      <c r="A8" s="9" t="s">
        <v>87</v>
      </c>
      <c r="B8" s="9" t="s">
        <v>38</v>
      </c>
      <c r="C8" s="9" t="s">
        <v>88</v>
      </c>
      <c r="D8" s="9" t="s">
        <v>89</v>
      </c>
      <c r="E8" s="9" t="s">
        <v>10</v>
      </c>
      <c r="F8" s="9" t="s">
        <v>90</v>
      </c>
      <c r="G8" s="9" t="s">
        <v>42</v>
      </c>
      <c r="H8" s="9" t="s">
        <v>91</v>
      </c>
      <c r="I8" s="9" t="s">
        <v>44</v>
      </c>
      <c r="J8" s="9" t="s">
        <v>92</v>
      </c>
      <c r="K8" s="9" t="s">
        <v>93</v>
      </c>
      <c r="L8" s="11" t="s">
        <v>3</v>
      </c>
      <c r="M8" s="9"/>
    </row>
    <row r="9" spans="1:13" ht="18" customHeight="1" x14ac:dyDescent="0.45">
      <c r="A9" s="9" t="s">
        <v>94</v>
      </c>
      <c r="B9" s="9" t="s">
        <v>38</v>
      </c>
      <c r="C9" s="9" t="s">
        <v>95</v>
      </c>
      <c r="D9" s="9" t="s">
        <v>96</v>
      </c>
      <c r="E9" s="9" t="s">
        <v>10</v>
      </c>
      <c r="F9" s="9" t="s">
        <v>97</v>
      </c>
      <c r="G9" s="9" t="s">
        <v>98</v>
      </c>
      <c r="H9" s="9" t="s">
        <v>99</v>
      </c>
      <c r="I9" s="9" t="s">
        <v>44</v>
      </c>
      <c r="J9" s="9" t="s">
        <v>100</v>
      </c>
      <c r="K9" s="9" t="s">
        <v>101</v>
      </c>
      <c r="L9" s="11" t="s">
        <v>3</v>
      </c>
      <c r="M9" s="9"/>
    </row>
    <row r="10" spans="1:13" ht="18" customHeight="1" x14ac:dyDescent="0.45">
      <c r="A10" s="9" t="s">
        <v>102</v>
      </c>
      <c r="B10" s="9" t="s">
        <v>38</v>
      </c>
      <c r="C10" s="9" t="s">
        <v>103</v>
      </c>
      <c r="D10" s="9" t="s">
        <v>104</v>
      </c>
      <c r="E10" s="9" t="s">
        <v>10</v>
      </c>
      <c r="F10" s="9" t="s">
        <v>105</v>
      </c>
      <c r="G10" s="9" t="s">
        <v>106</v>
      </c>
      <c r="H10" s="9" t="s">
        <v>107</v>
      </c>
      <c r="I10" s="9" t="s">
        <v>44</v>
      </c>
      <c r="J10" s="9" t="s">
        <v>108</v>
      </c>
      <c r="K10" s="10" t="s">
        <v>109</v>
      </c>
      <c r="L10" s="11" t="s">
        <v>3</v>
      </c>
      <c r="M10" s="9"/>
    </row>
    <row r="11" spans="1:13" ht="18" customHeight="1" x14ac:dyDescent="0.45">
      <c r="A11" s="9" t="s">
        <v>110</v>
      </c>
      <c r="B11" s="9" t="s">
        <v>38</v>
      </c>
      <c r="C11" s="9" t="s">
        <v>111</v>
      </c>
      <c r="D11" s="9" t="s">
        <v>112</v>
      </c>
      <c r="E11" s="9" t="s">
        <v>10</v>
      </c>
      <c r="F11" s="9" t="s">
        <v>113</v>
      </c>
      <c r="G11" s="9" t="s">
        <v>114</v>
      </c>
      <c r="H11" s="9" t="s">
        <v>115</v>
      </c>
      <c r="I11" s="9" t="s">
        <v>44</v>
      </c>
      <c r="J11" s="9" t="s">
        <v>116</v>
      </c>
      <c r="K11" s="10" t="s">
        <v>117</v>
      </c>
      <c r="L11" s="11" t="s">
        <v>3</v>
      </c>
      <c r="M11" s="9"/>
    </row>
    <row r="12" spans="1:13" ht="18" customHeight="1" x14ac:dyDescent="0.45">
      <c r="A12" s="9" t="s">
        <v>118</v>
      </c>
      <c r="B12" s="9" t="s">
        <v>38</v>
      </c>
      <c r="C12" s="9" t="s">
        <v>119</v>
      </c>
      <c r="D12" s="9" t="s">
        <v>120</v>
      </c>
      <c r="E12" s="9" t="s">
        <v>9</v>
      </c>
      <c r="F12" s="9" t="s">
        <v>121</v>
      </c>
      <c r="G12" s="9" t="s">
        <v>122</v>
      </c>
      <c r="H12" s="9" t="s">
        <v>123</v>
      </c>
      <c r="I12" s="9" t="s">
        <v>44</v>
      </c>
      <c r="J12" s="9" t="s">
        <v>124</v>
      </c>
      <c r="K12" s="10" t="s">
        <v>125</v>
      </c>
      <c r="L12" s="11" t="s">
        <v>3</v>
      </c>
      <c r="M12" s="9"/>
    </row>
    <row r="13" spans="1:13" ht="18" customHeight="1" x14ac:dyDescent="0.45">
      <c r="A13" s="9" t="s">
        <v>126</v>
      </c>
      <c r="B13" s="9" t="s">
        <v>38</v>
      </c>
      <c r="C13" s="9" t="s">
        <v>127</v>
      </c>
      <c r="D13" s="9" t="s">
        <v>128</v>
      </c>
      <c r="E13" s="9" t="s">
        <v>10</v>
      </c>
      <c r="F13" s="9" t="s">
        <v>129</v>
      </c>
      <c r="G13" s="9" t="s">
        <v>130</v>
      </c>
      <c r="H13" s="9" t="s">
        <v>131</v>
      </c>
      <c r="I13" s="9" t="s">
        <v>44</v>
      </c>
      <c r="J13" s="9" t="s">
        <v>132</v>
      </c>
      <c r="K13" s="9" t="s">
        <v>133</v>
      </c>
      <c r="L13" s="11" t="s">
        <v>3</v>
      </c>
      <c r="M13" s="9"/>
    </row>
    <row r="14" spans="1:13" ht="18" customHeight="1" x14ac:dyDescent="0.45">
      <c r="A14" s="9" t="s">
        <v>134</v>
      </c>
      <c r="B14" s="9" t="s">
        <v>38</v>
      </c>
      <c r="C14" s="9" t="s">
        <v>135</v>
      </c>
      <c r="D14" s="9" t="s">
        <v>136</v>
      </c>
      <c r="E14" s="9" t="s">
        <v>10</v>
      </c>
      <c r="F14" s="9" t="s">
        <v>137</v>
      </c>
      <c r="G14" s="9" t="s">
        <v>130</v>
      </c>
      <c r="H14" s="9" t="s">
        <v>138</v>
      </c>
      <c r="I14" s="9" t="s">
        <v>44</v>
      </c>
      <c r="J14" s="9" t="s">
        <v>139</v>
      </c>
      <c r="K14" s="9" t="s">
        <v>140</v>
      </c>
      <c r="L14" s="11" t="s">
        <v>3</v>
      </c>
      <c r="M14" s="9"/>
    </row>
    <row r="15" spans="1:13" ht="18" customHeight="1" x14ac:dyDescent="0.45">
      <c r="A15" s="9" t="s">
        <v>141</v>
      </c>
      <c r="B15" s="9" t="s">
        <v>38</v>
      </c>
      <c r="C15" s="9" t="s">
        <v>142</v>
      </c>
      <c r="D15" s="9" t="s">
        <v>143</v>
      </c>
      <c r="E15" s="9" t="s">
        <v>10</v>
      </c>
      <c r="F15" s="9" t="s">
        <v>144</v>
      </c>
      <c r="G15" s="9" t="s">
        <v>130</v>
      </c>
      <c r="H15" s="9" t="s">
        <v>145</v>
      </c>
      <c r="I15" s="9" t="s">
        <v>44</v>
      </c>
      <c r="J15" s="9" t="s">
        <v>146</v>
      </c>
      <c r="K15" s="9" t="s">
        <v>147</v>
      </c>
      <c r="L15" s="11" t="s">
        <v>3</v>
      </c>
      <c r="M15" s="9"/>
    </row>
    <row r="16" spans="1:13" ht="18" customHeight="1" x14ac:dyDescent="0.45">
      <c r="A16" s="9" t="s">
        <v>148</v>
      </c>
      <c r="B16" s="9" t="s">
        <v>38</v>
      </c>
      <c r="C16" s="9" t="s">
        <v>149</v>
      </c>
      <c r="D16" s="9" t="s">
        <v>150</v>
      </c>
      <c r="E16" s="9" t="s">
        <v>9</v>
      </c>
      <c r="F16" s="9" t="s">
        <v>151</v>
      </c>
      <c r="G16" s="9" t="s">
        <v>152</v>
      </c>
      <c r="H16" s="9" t="s">
        <v>153</v>
      </c>
      <c r="I16" s="9" t="s">
        <v>44</v>
      </c>
      <c r="J16" s="9" t="s">
        <v>154</v>
      </c>
      <c r="K16" s="10" t="s">
        <v>155</v>
      </c>
      <c r="L16" s="11" t="s">
        <v>3</v>
      </c>
      <c r="M16" s="9"/>
    </row>
    <row r="17" spans="1:13" ht="18" customHeight="1" x14ac:dyDescent="0.45">
      <c r="A17" s="9" t="s">
        <v>156</v>
      </c>
      <c r="B17" s="9" t="s">
        <v>38</v>
      </c>
      <c r="C17" s="9" t="s">
        <v>157</v>
      </c>
      <c r="D17" s="9" t="s">
        <v>158</v>
      </c>
      <c r="E17" s="9" t="s">
        <v>9</v>
      </c>
      <c r="F17" s="9" t="s">
        <v>159</v>
      </c>
      <c r="G17" s="9" t="s">
        <v>160</v>
      </c>
      <c r="H17" s="9" t="s">
        <v>161</v>
      </c>
      <c r="I17" s="9" t="s">
        <v>44</v>
      </c>
      <c r="J17" s="9" t="s">
        <v>162</v>
      </c>
      <c r="K17" s="10" t="s">
        <v>163</v>
      </c>
      <c r="L17" s="11" t="s">
        <v>3</v>
      </c>
      <c r="M17" s="9"/>
    </row>
    <row r="18" spans="1:13" ht="18" customHeight="1" x14ac:dyDescent="0.45">
      <c r="A18" s="9" t="s">
        <v>164</v>
      </c>
      <c r="B18" s="9" t="s">
        <v>38</v>
      </c>
      <c r="C18" s="9" t="s">
        <v>157</v>
      </c>
      <c r="D18" s="9" t="s">
        <v>165</v>
      </c>
      <c r="E18" s="9" t="s">
        <v>10</v>
      </c>
      <c r="F18" s="9" t="s">
        <v>166</v>
      </c>
      <c r="G18" s="9" t="s">
        <v>167</v>
      </c>
      <c r="H18" s="9" t="s">
        <v>168</v>
      </c>
      <c r="I18" s="9" t="s">
        <v>169</v>
      </c>
      <c r="J18" s="9" t="s">
        <v>170</v>
      </c>
      <c r="K18" s="9" t="s">
        <v>171</v>
      </c>
      <c r="L18" s="11" t="s">
        <v>3</v>
      </c>
      <c r="M18" s="9"/>
    </row>
    <row r="19" spans="1:13" ht="18" customHeight="1" x14ac:dyDescent="0.45">
      <c r="A19" s="9" t="s">
        <v>172</v>
      </c>
      <c r="B19" s="9" t="s">
        <v>38</v>
      </c>
      <c r="C19" s="9" t="s">
        <v>173</v>
      </c>
      <c r="D19" s="9" t="s">
        <v>174</v>
      </c>
      <c r="E19" s="9" t="s">
        <v>10</v>
      </c>
      <c r="F19" s="9" t="s">
        <v>175</v>
      </c>
      <c r="G19" s="9" t="s">
        <v>130</v>
      </c>
      <c r="H19" s="9" t="s">
        <v>176</v>
      </c>
      <c r="I19" s="9" t="s">
        <v>44</v>
      </c>
      <c r="J19" s="9" t="s">
        <v>177</v>
      </c>
      <c r="K19" s="9" t="s">
        <v>178</v>
      </c>
      <c r="L19" s="11" t="s">
        <v>3</v>
      </c>
      <c r="M19" s="9"/>
    </row>
    <row r="20" spans="1:13" ht="18" customHeight="1" x14ac:dyDescent="0.45">
      <c r="A20" s="9" t="s">
        <v>179</v>
      </c>
      <c r="B20" s="9" t="s">
        <v>38</v>
      </c>
      <c r="C20" s="9" t="s">
        <v>180</v>
      </c>
      <c r="D20" s="9" t="s">
        <v>181</v>
      </c>
      <c r="E20" s="9" t="s">
        <v>10</v>
      </c>
      <c r="F20" s="9" t="s">
        <v>182</v>
      </c>
      <c r="G20" s="9" t="s">
        <v>183</v>
      </c>
      <c r="H20" s="9" t="s">
        <v>184</v>
      </c>
      <c r="I20" s="9" t="s">
        <v>44</v>
      </c>
      <c r="J20" s="9" t="s">
        <v>185</v>
      </c>
      <c r="K20" s="9" t="s">
        <v>186</v>
      </c>
      <c r="L20" s="11" t="s">
        <v>3</v>
      </c>
      <c r="M20" s="9"/>
    </row>
    <row r="21" spans="1:13" ht="18" customHeight="1" x14ac:dyDescent="0.45">
      <c r="A21" s="9" t="s">
        <v>187</v>
      </c>
      <c r="B21" s="9" t="s">
        <v>38</v>
      </c>
      <c r="C21" s="9" t="s">
        <v>188</v>
      </c>
      <c r="D21" s="9" t="s">
        <v>189</v>
      </c>
      <c r="E21" s="9" t="s">
        <v>10</v>
      </c>
      <c r="F21" s="9" t="s">
        <v>190</v>
      </c>
      <c r="G21" s="9" t="s">
        <v>191</v>
      </c>
      <c r="H21" s="9" t="s">
        <v>192</v>
      </c>
      <c r="I21" s="9" t="s">
        <v>60</v>
      </c>
      <c r="J21" s="9" t="s">
        <v>193</v>
      </c>
      <c r="K21" s="10" t="s">
        <v>194</v>
      </c>
      <c r="L21" s="11" t="s">
        <v>3</v>
      </c>
      <c r="M21" s="9"/>
    </row>
    <row r="22" spans="1:13" ht="18" customHeight="1" x14ac:dyDescent="0.45">
      <c r="A22" s="9" t="s">
        <v>195</v>
      </c>
      <c r="B22" s="9" t="s">
        <v>38</v>
      </c>
      <c r="C22" s="9" t="s">
        <v>196</v>
      </c>
      <c r="D22" s="9" t="s">
        <v>197</v>
      </c>
      <c r="E22" s="9" t="s">
        <v>10</v>
      </c>
      <c r="F22" s="9" t="s">
        <v>198</v>
      </c>
      <c r="G22" s="9" t="s">
        <v>199</v>
      </c>
      <c r="H22" s="9" t="s">
        <v>200</v>
      </c>
      <c r="I22" s="9" t="s">
        <v>60</v>
      </c>
      <c r="J22" s="9" t="s">
        <v>201</v>
      </c>
      <c r="K22" s="10" t="s">
        <v>202</v>
      </c>
      <c r="L22" s="11" t="s">
        <v>3</v>
      </c>
      <c r="M22" s="9"/>
    </row>
  </sheetData>
  <conditionalFormatting sqref="E2:E22">
    <cfRule type="expression" dxfId="69" priority="13">
      <formula>$E2="P0"</formula>
    </cfRule>
    <cfRule type="expression" dxfId="68" priority="14">
      <formula>$E2="P1"</formula>
    </cfRule>
    <cfRule type="expression" dxfId="67" priority="15">
      <formula>$E2="P2"</formula>
    </cfRule>
  </conditionalFormatting>
  <conditionalFormatting sqref="L2:L22">
    <cfRule type="expression" dxfId="66" priority="9">
      <formula>$L2="PASS"</formula>
    </cfRule>
    <cfRule type="expression" dxfId="65" priority="10">
      <formula>$L2="FAIL"</formula>
    </cfRule>
    <cfRule type="expression" dxfId="64" priority="11">
      <formula>$L2="BLOCKED"</formula>
    </cfRule>
    <cfRule type="expression" dxfId="63" priority="12">
      <formula>$L2="NOT RUN"</formula>
    </cfRule>
  </conditionalFormatting>
  <dataValidations count="2">
    <dataValidation type="list" allowBlank="1" sqref="L2:L22" xr:uid="{00000000-0002-0000-0100-000000000000}">
      <formula1>"NOT RUN,PASS,FAIL,BLOCKED"</formula1>
    </dataValidation>
    <dataValidation type="list" allowBlank="1" sqref="E2:E22" xr:uid="{00000000-0002-0000-0100-000001000000}">
      <formula1>"P0,P1,P2"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workbookViewId="0">
      <selection activeCell="D8" sqref="D8"/>
    </sheetView>
  </sheetViews>
  <sheetFormatPr defaultRowHeight="14.25" x14ac:dyDescent="0.45"/>
  <cols>
    <col min="1" max="1" width="18" customWidth="1"/>
    <col min="2" max="2" width="24" customWidth="1"/>
    <col min="3" max="4" width="34" customWidth="1"/>
    <col min="5" max="5" width="10" customWidth="1"/>
    <col min="6" max="6" width="34" customWidth="1"/>
    <col min="7" max="7" width="42" customWidth="1"/>
    <col min="8" max="8" width="44" customWidth="1"/>
    <col min="9" max="9" width="16" customWidth="1"/>
    <col min="10" max="10" width="50" customWidth="1"/>
    <col min="11" max="11" width="28" customWidth="1"/>
    <col min="12" max="12" width="16" customWidth="1"/>
    <col min="13" max="13" width="28" customWidth="1"/>
  </cols>
  <sheetData>
    <row r="1" spans="1:13" x14ac:dyDescent="0.45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</row>
    <row r="2" spans="1:13" ht="18" customHeight="1" x14ac:dyDescent="0.45">
      <c r="A2" s="9" t="s">
        <v>203</v>
      </c>
      <c r="B2" s="9" t="s">
        <v>204</v>
      </c>
      <c r="C2" s="9" t="s">
        <v>205</v>
      </c>
      <c r="D2" s="9" t="s">
        <v>206</v>
      </c>
      <c r="E2" s="9" t="s">
        <v>9</v>
      </c>
      <c r="F2" s="9" t="s">
        <v>207</v>
      </c>
      <c r="G2" s="9" t="s">
        <v>42</v>
      </c>
      <c r="H2" s="9" t="s">
        <v>208</v>
      </c>
      <c r="I2" s="9" t="s">
        <v>44</v>
      </c>
      <c r="J2" s="9" t="s">
        <v>209</v>
      </c>
      <c r="K2" s="9" t="s">
        <v>210</v>
      </c>
      <c r="L2" s="9" t="s">
        <v>3</v>
      </c>
      <c r="M2" s="9"/>
    </row>
    <row r="3" spans="1:13" ht="18" customHeight="1" x14ac:dyDescent="0.45">
      <c r="A3" s="9" t="s">
        <v>211</v>
      </c>
      <c r="B3" s="9" t="s">
        <v>204</v>
      </c>
      <c r="C3" s="9" t="s">
        <v>205</v>
      </c>
      <c r="D3" s="9" t="s">
        <v>212</v>
      </c>
      <c r="E3" s="9" t="s">
        <v>9</v>
      </c>
      <c r="F3" s="9" t="s">
        <v>213</v>
      </c>
      <c r="G3" s="9" t="s">
        <v>214</v>
      </c>
      <c r="H3" s="9" t="s">
        <v>215</v>
      </c>
      <c r="I3" s="9" t="s">
        <v>216</v>
      </c>
      <c r="J3" s="9" t="s">
        <v>217</v>
      </c>
      <c r="K3" s="9" t="s">
        <v>218</v>
      </c>
      <c r="L3" s="9" t="s">
        <v>3</v>
      </c>
      <c r="M3" s="9"/>
    </row>
    <row r="4" spans="1:13" ht="18" customHeight="1" x14ac:dyDescent="0.45">
      <c r="A4" s="9" t="s">
        <v>219</v>
      </c>
      <c r="B4" s="9" t="s">
        <v>204</v>
      </c>
      <c r="C4" s="9" t="s">
        <v>205</v>
      </c>
      <c r="D4" s="9" t="s">
        <v>220</v>
      </c>
      <c r="E4" s="9" t="s">
        <v>9</v>
      </c>
      <c r="F4" s="9" t="s">
        <v>221</v>
      </c>
      <c r="G4" s="9" t="s">
        <v>42</v>
      </c>
      <c r="H4" s="9" t="s">
        <v>222</v>
      </c>
      <c r="I4" s="9" t="s">
        <v>223</v>
      </c>
      <c r="J4" s="9" t="s">
        <v>224</v>
      </c>
      <c r="K4" s="9" t="s">
        <v>225</v>
      </c>
      <c r="L4" s="9" t="s">
        <v>3</v>
      </c>
      <c r="M4" s="9"/>
    </row>
    <row r="5" spans="1:13" ht="18" customHeight="1" x14ac:dyDescent="0.45">
      <c r="A5" s="9" t="s">
        <v>226</v>
      </c>
      <c r="B5" s="9" t="s">
        <v>204</v>
      </c>
      <c r="C5" s="9" t="s">
        <v>127</v>
      </c>
      <c r="D5" s="9" t="s">
        <v>227</v>
      </c>
      <c r="E5" s="9" t="s">
        <v>9</v>
      </c>
      <c r="F5" s="9" t="s">
        <v>228</v>
      </c>
      <c r="G5" s="9" t="s">
        <v>229</v>
      </c>
      <c r="H5" s="9" t="s">
        <v>230</v>
      </c>
      <c r="I5" s="9" t="s">
        <v>216</v>
      </c>
      <c r="J5" s="9" t="s">
        <v>231</v>
      </c>
      <c r="K5" s="9" t="s">
        <v>232</v>
      </c>
      <c r="L5" s="9" t="s">
        <v>3</v>
      </c>
      <c r="M5" s="9" t="s">
        <v>233</v>
      </c>
    </row>
    <row r="6" spans="1:13" ht="18" customHeight="1" x14ac:dyDescent="0.45">
      <c r="A6" s="9" t="s">
        <v>234</v>
      </c>
      <c r="B6" s="9" t="s">
        <v>204</v>
      </c>
      <c r="C6" s="9" t="s">
        <v>205</v>
      </c>
      <c r="D6" s="9" t="s">
        <v>235</v>
      </c>
      <c r="E6" s="9" t="s">
        <v>10</v>
      </c>
      <c r="F6" s="9" t="s">
        <v>236</v>
      </c>
      <c r="G6" s="9" t="s">
        <v>237</v>
      </c>
      <c r="H6" s="9" t="s">
        <v>238</v>
      </c>
      <c r="I6" s="9" t="s">
        <v>216</v>
      </c>
      <c r="J6" s="9" t="s">
        <v>239</v>
      </c>
      <c r="K6" s="9" t="s">
        <v>240</v>
      </c>
      <c r="L6" s="9" t="s">
        <v>3</v>
      </c>
      <c r="M6" s="9"/>
    </row>
    <row r="7" spans="1:13" ht="18" customHeight="1" x14ac:dyDescent="0.45">
      <c r="A7" s="9" t="s">
        <v>241</v>
      </c>
      <c r="B7" s="9" t="s">
        <v>204</v>
      </c>
      <c r="C7" s="9" t="s">
        <v>127</v>
      </c>
      <c r="D7" s="9" t="s">
        <v>242</v>
      </c>
      <c r="E7" s="9" t="s">
        <v>9</v>
      </c>
      <c r="F7" s="9" t="s">
        <v>57</v>
      </c>
      <c r="G7" s="9" t="s">
        <v>42</v>
      </c>
      <c r="H7" s="9" t="s">
        <v>243</v>
      </c>
      <c r="I7" s="9" t="s">
        <v>223</v>
      </c>
      <c r="J7" s="9" t="s">
        <v>244</v>
      </c>
      <c r="K7" s="9" t="s">
        <v>245</v>
      </c>
      <c r="L7" s="9" t="s">
        <v>3</v>
      </c>
      <c r="M7" s="9" t="s">
        <v>233</v>
      </c>
    </row>
    <row r="8" spans="1:13" ht="18" customHeight="1" x14ac:dyDescent="0.45">
      <c r="A8" s="9" t="s">
        <v>246</v>
      </c>
      <c r="B8" s="9" t="s">
        <v>204</v>
      </c>
      <c r="C8" s="9" t="s">
        <v>64</v>
      </c>
      <c r="D8" s="9" t="s">
        <v>247</v>
      </c>
      <c r="E8" s="9" t="s">
        <v>10</v>
      </c>
      <c r="F8" s="9" t="s">
        <v>57</v>
      </c>
      <c r="G8" s="9" t="s">
        <v>248</v>
      </c>
      <c r="H8" s="9" t="s">
        <v>249</v>
      </c>
      <c r="I8" s="9" t="s">
        <v>223</v>
      </c>
      <c r="J8" s="9" t="s">
        <v>250</v>
      </c>
      <c r="K8" s="9" t="s">
        <v>251</v>
      </c>
      <c r="L8" s="9" t="s">
        <v>3</v>
      </c>
      <c r="M8" s="9" t="s">
        <v>233</v>
      </c>
    </row>
  </sheetData>
  <conditionalFormatting sqref="E2:E8">
    <cfRule type="expression" dxfId="62" priority="13">
      <formula>$E2="P0"</formula>
    </cfRule>
    <cfRule type="expression" dxfId="61" priority="14">
      <formula>$E2="P1"</formula>
    </cfRule>
    <cfRule type="expression" dxfId="60" priority="15">
      <formula>$E2="P2"</formula>
    </cfRule>
  </conditionalFormatting>
  <conditionalFormatting sqref="L2:L8">
    <cfRule type="expression" dxfId="59" priority="9">
      <formula>$L2="PASS"</formula>
    </cfRule>
    <cfRule type="expression" dxfId="58" priority="10">
      <formula>$L2="FAIL"</formula>
    </cfRule>
    <cfRule type="expression" dxfId="57" priority="11">
      <formula>$L2="BLOCKED"</formula>
    </cfRule>
    <cfRule type="expression" dxfId="56" priority="12">
      <formula>$L2="NOT RUN"</formula>
    </cfRule>
  </conditionalFormatting>
  <dataValidations count="2">
    <dataValidation type="list" allowBlank="1" sqref="L2:L8" xr:uid="{00000000-0002-0000-0200-000000000000}">
      <formula1>"NOT RUN,PASS,FAIL,BLOCKED"</formula1>
    </dataValidation>
    <dataValidation type="list" allowBlank="1" sqref="E2:E8" xr:uid="{00000000-0002-0000-0200-000001000000}">
      <formula1>"P0,P1,P2"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opLeftCell="G1" workbookViewId="0">
      <selection activeCell="G3" sqref="G3"/>
    </sheetView>
  </sheetViews>
  <sheetFormatPr defaultRowHeight="14.25" x14ac:dyDescent="0.45"/>
  <cols>
    <col min="1" max="1" width="18" customWidth="1"/>
    <col min="2" max="2" width="24" customWidth="1"/>
    <col min="3" max="4" width="34" customWidth="1"/>
    <col min="5" max="5" width="10" customWidth="1"/>
    <col min="6" max="6" width="34" customWidth="1"/>
    <col min="7" max="7" width="42" customWidth="1"/>
    <col min="8" max="8" width="44" customWidth="1"/>
    <col min="9" max="9" width="16" customWidth="1"/>
    <col min="10" max="10" width="50" customWidth="1"/>
    <col min="11" max="11" width="28" customWidth="1"/>
    <col min="12" max="12" width="16" customWidth="1"/>
    <col min="13" max="13" width="28" customWidth="1"/>
  </cols>
  <sheetData>
    <row r="1" spans="1:13" x14ac:dyDescent="0.45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</row>
    <row r="2" spans="1:13" ht="18" customHeight="1" x14ac:dyDescent="0.45">
      <c r="A2" s="9" t="s">
        <v>252</v>
      </c>
      <c r="B2" s="9" t="s">
        <v>253</v>
      </c>
      <c r="C2" s="9" t="s">
        <v>254</v>
      </c>
      <c r="D2" s="9" t="s">
        <v>255</v>
      </c>
      <c r="E2" s="9" t="s">
        <v>9</v>
      </c>
      <c r="F2" s="9" t="s">
        <v>256</v>
      </c>
      <c r="G2" s="9" t="s">
        <v>257</v>
      </c>
      <c r="H2" s="9" t="s">
        <v>258</v>
      </c>
      <c r="I2" s="9" t="s">
        <v>259</v>
      </c>
      <c r="J2" s="9" t="s">
        <v>260</v>
      </c>
      <c r="K2" s="9" t="s">
        <v>261</v>
      </c>
      <c r="L2" s="9" t="s">
        <v>3</v>
      </c>
      <c r="M2" s="9"/>
    </row>
    <row r="3" spans="1:13" ht="18" customHeight="1" x14ac:dyDescent="0.45">
      <c r="A3" s="9" t="s">
        <v>262</v>
      </c>
      <c r="B3" s="9" t="s">
        <v>253</v>
      </c>
      <c r="C3" s="9" t="s">
        <v>254</v>
      </c>
      <c r="D3" s="9" t="s">
        <v>263</v>
      </c>
      <c r="E3" s="9" t="s">
        <v>9</v>
      </c>
      <c r="F3" s="9" t="s">
        <v>264</v>
      </c>
      <c r="G3" s="9" t="s">
        <v>265</v>
      </c>
      <c r="H3" s="9" t="s">
        <v>266</v>
      </c>
      <c r="I3" s="9" t="s">
        <v>267</v>
      </c>
      <c r="J3" s="9" t="s">
        <v>268</v>
      </c>
      <c r="K3" s="10" t="s">
        <v>269</v>
      </c>
      <c r="L3" s="9" t="s">
        <v>4</v>
      </c>
      <c r="M3" s="9" t="s">
        <v>270</v>
      </c>
    </row>
    <row r="4" spans="1:13" ht="18" customHeight="1" x14ac:dyDescent="0.45">
      <c r="A4" s="9" t="s">
        <v>271</v>
      </c>
      <c r="B4" s="9" t="s">
        <v>253</v>
      </c>
      <c r="C4" s="9" t="s">
        <v>254</v>
      </c>
      <c r="D4" s="9" t="s">
        <v>272</v>
      </c>
      <c r="E4" s="9" t="s">
        <v>9</v>
      </c>
      <c r="F4" s="9" t="s">
        <v>273</v>
      </c>
      <c r="G4" s="9" t="s">
        <v>274</v>
      </c>
      <c r="H4" s="9" t="s">
        <v>275</v>
      </c>
      <c r="I4" s="9" t="s">
        <v>259</v>
      </c>
      <c r="J4" s="9" t="s">
        <v>276</v>
      </c>
      <c r="K4" s="9" t="s">
        <v>277</v>
      </c>
      <c r="L4" s="9" t="s">
        <v>3</v>
      </c>
      <c r="M4" s="9"/>
    </row>
    <row r="5" spans="1:13" ht="18" customHeight="1" x14ac:dyDescent="0.45">
      <c r="A5" s="9" t="s">
        <v>278</v>
      </c>
      <c r="B5" s="9" t="s">
        <v>253</v>
      </c>
      <c r="C5" s="9" t="s">
        <v>254</v>
      </c>
      <c r="D5" s="9" t="s">
        <v>279</v>
      </c>
      <c r="E5" s="9" t="s">
        <v>10</v>
      </c>
      <c r="F5" s="9" t="s">
        <v>280</v>
      </c>
      <c r="G5" s="9" t="s">
        <v>281</v>
      </c>
      <c r="H5" s="9" t="s">
        <v>282</v>
      </c>
      <c r="I5" s="9" t="s">
        <v>259</v>
      </c>
      <c r="J5" s="9" t="s">
        <v>283</v>
      </c>
      <c r="K5" s="9" t="s">
        <v>284</v>
      </c>
      <c r="L5" s="9" t="s">
        <v>3</v>
      </c>
      <c r="M5" s="9"/>
    </row>
    <row r="6" spans="1:13" ht="18" customHeight="1" x14ac:dyDescent="0.45">
      <c r="A6" s="9" t="s">
        <v>285</v>
      </c>
      <c r="B6" s="9" t="s">
        <v>253</v>
      </c>
      <c r="C6" s="9" t="s">
        <v>254</v>
      </c>
      <c r="D6" s="9" t="s">
        <v>286</v>
      </c>
      <c r="E6" s="9" t="s">
        <v>9</v>
      </c>
      <c r="F6" s="9" t="s">
        <v>287</v>
      </c>
      <c r="G6" s="9" t="s">
        <v>288</v>
      </c>
      <c r="H6" s="9" t="s">
        <v>289</v>
      </c>
      <c r="I6" s="9" t="s">
        <v>259</v>
      </c>
      <c r="J6" s="9" t="s">
        <v>290</v>
      </c>
      <c r="K6" s="9" t="s">
        <v>291</v>
      </c>
      <c r="L6" s="9" t="s">
        <v>3</v>
      </c>
      <c r="M6" s="9"/>
    </row>
    <row r="7" spans="1:13" ht="18" customHeight="1" x14ac:dyDescent="0.45">
      <c r="A7" s="9" t="s">
        <v>292</v>
      </c>
      <c r="B7" s="9" t="s">
        <v>253</v>
      </c>
      <c r="C7" s="9" t="s">
        <v>254</v>
      </c>
      <c r="D7" s="9" t="s">
        <v>293</v>
      </c>
      <c r="E7" s="9" t="s">
        <v>10</v>
      </c>
      <c r="F7" s="9" t="s">
        <v>294</v>
      </c>
      <c r="G7" s="9" t="s">
        <v>295</v>
      </c>
      <c r="H7" s="9" t="s">
        <v>296</v>
      </c>
      <c r="I7" s="9" t="s">
        <v>297</v>
      </c>
      <c r="J7" s="9" t="s">
        <v>298</v>
      </c>
      <c r="K7" s="9" t="s">
        <v>225</v>
      </c>
      <c r="L7" s="9" t="s">
        <v>3</v>
      </c>
      <c r="M7" s="9"/>
    </row>
    <row r="8" spans="1:13" ht="18" customHeight="1" x14ac:dyDescent="0.45">
      <c r="A8" s="9" t="s">
        <v>299</v>
      </c>
      <c r="B8" s="9" t="s">
        <v>253</v>
      </c>
      <c r="C8" s="9" t="s">
        <v>254</v>
      </c>
      <c r="D8" s="9" t="s">
        <v>300</v>
      </c>
      <c r="E8" s="9" t="s">
        <v>9</v>
      </c>
      <c r="F8" s="9" t="s">
        <v>301</v>
      </c>
      <c r="G8" s="9" t="s">
        <v>302</v>
      </c>
      <c r="H8" s="9" t="s">
        <v>303</v>
      </c>
      <c r="I8" s="9" t="s">
        <v>44</v>
      </c>
      <c r="J8" s="9" t="s">
        <v>304</v>
      </c>
      <c r="K8" s="9" t="s">
        <v>305</v>
      </c>
      <c r="L8" s="9" t="s">
        <v>3</v>
      </c>
      <c r="M8" s="9"/>
    </row>
    <row r="9" spans="1:13" ht="18" customHeight="1" x14ac:dyDescent="0.45">
      <c r="A9" s="9" t="s">
        <v>306</v>
      </c>
      <c r="B9" s="9" t="s">
        <v>253</v>
      </c>
      <c r="C9" s="9" t="s">
        <v>254</v>
      </c>
      <c r="D9" s="9" t="s">
        <v>307</v>
      </c>
      <c r="E9" s="9" t="s">
        <v>9</v>
      </c>
      <c r="F9" s="9" t="s">
        <v>308</v>
      </c>
      <c r="G9" s="9" t="s">
        <v>309</v>
      </c>
      <c r="H9" s="9" t="s">
        <v>310</v>
      </c>
      <c r="I9" s="9" t="s">
        <v>44</v>
      </c>
      <c r="J9" s="9" t="s">
        <v>311</v>
      </c>
      <c r="K9" s="9" t="s">
        <v>312</v>
      </c>
      <c r="L9" s="9" t="s">
        <v>3</v>
      </c>
      <c r="M9" s="9"/>
    </row>
  </sheetData>
  <conditionalFormatting sqref="E2:E9">
    <cfRule type="expression" dxfId="55" priority="13">
      <formula>$E2="P0"</formula>
    </cfRule>
    <cfRule type="expression" dxfId="54" priority="14">
      <formula>$E2="P1"</formula>
    </cfRule>
    <cfRule type="expression" dxfId="53" priority="15">
      <formula>$E2="P2"</formula>
    </cfRule>
  </conditionalFormatting>
  <conditionalFormatting sqref="L2:L9">
    <cfRule type="expression" dxfId="52" priority="9">
      <formula>$L2="PASS"</formula>
    </cfRule>
    <cfRule type="expression" dxfId="51" priority="10">
      <formula>$L2="FAIL"</formula>
    </cfRule>
    <cfRule type="expression" dxfId="50" priority="11">
      <formula>$L2="BLOCKED"</formula>
    </cfRule>
    <cfRule type="expression" dxfId="49" priority="12">
      <formula>$L2="NOT RUN"</formula>
    </cfRule>
  </conditionalFormatting>
  <dataValidations count="2">
    <dataValidation type="list" allowBlank="1" sqref="L2:L9" xr:uid="{00000000-0002-0000-0300-000000000000}">
      <formula1>"NOT RUN,PASS,FAIL,BLOCKED"</formula1>
    </dataValidation>
    <dataValidation type="list" allowBlank="1" sqref="E2:E9" xr:uid="{00000000-0002-0000-0300-000001000000}">
      <formula1>"P0,P1,P2"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"/>
  <sheetViews>
    <sheetView tabSelected="1" topLeftCell="G1" workbookViewId="0">
      <selection activeCell="M4" sqref="M4"/>
    </sheetView>
  </sheetViews>
  <sheetFormatPr defaultRowHeight="14.25" x14ac:dyDescent="0.45"/>
  <cols>
    <col min="1" max="1" width="18" customWidth="1"/>
    <col min="2" max="2" width="24" customWidth="1"/>
    <col min="3" max="4" width="34" customWidth="1"/>
    <col min="5" max="5" width="10" customWidth="1"/>
    <col min="6" max="6" width="34" customWidth="1"/>
    <col min="7" max="7" width="42" customWidth="1"/>
    <col min="8" max="8" width="44" customWidth="1"/>
    <col min="9" max="9" width="16" customWidth="1"/>
    <col min="10" max="10" width="50" customWidth="1"/>
    <col min="11" max="11" width="28" customWidth="1"/>
    <col min="12" max="12" width="16" customWidth="1"/>
    <col min="13" max="13" width="28" customWidth="1"/>
  </cols>
  <sheetData>
    <row r="1" spans="1:13" x14ac:dyDescent="0.45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</row>
    <row r="2" spans="1:13" ht="18" customHeight="1" x14ac:dyDescent="0.45">
      <c r="A2" s="9" t="s">
        <v>313</v>
      </c>
      <c r="B2" s="9" t="s">
        <v>314</v>
      </c>
      <c r="C2" s="9" t="s">
        <v>315</v>
      </c>
      <c r="D2" s="9" t="s">
        <v>316</v>
      </c>
      <c r="E2" s="9" t="s">
        <v>10</v>
      </c>
      <c r="F2" s="9" t="s">
        <v>317</v>
      </c>
      <c r="G2" s="9" t="s">
        <v>318</v>
      </c>
      <c r="H2" s="9" t="s">
        <v>319</v>
      </c>
      <c r="I2" s="9" t="s">
        <v>44</v>
      </c>
      <c r="J2" s="9" t="s">
        <v>320</v>
      </c>
      <c r="K2" s="9" t="s">
        <v>321</v>
      </c>
      <c r="L2" s="9" t="s">
        <v>3</v>
      </c>
      <c r="M2" s="9"/>
    </row>
    <row r="3" spans="1:13" ht="18" customHeight="1" x14ac:dyDescent="0.45">
      <c r="A3" s="9" t="s">
        <v>322</v>
      </c>
      <c r="B3" s="9" t="s">
        <v>314</v>
      </c>
      <c r="C3" s="9" t="s">
        <v>315</v>
      </c>
      <c r="D3" s="9" t="s">
        <v>323</v>
      </c>
      <c r="E3" s="9" t="s">
        <v>10</v>
      </c>
      <c r="F3" s="9" t="s">
        <v>324</v>
      </c>
      <c r="G3" s="9" t="s">
        <v>325</v>
      </c>
      <c r="H3" s="9" t="s">
        <v>326</v>
      </c>
      <c r="I3" s="9" t="s">
        <v>327</v>
      </c>
      <c r="J3" s="9" t="s">
        <v>328</v>
      </c>
      <c r="K3" s="9" t="s">
        <v>329</v>
      </c>
      <c r="L3" s="9" t="s">
        <v>3</v>
      </c>
      <c r="M3" s="9"/>
    </row>
    <row r="4" spans="1:13" ht="18" customHeight="1" x14ac:dyDescent="0.45">
      <c r="A4" s="9" t="s">
        <v>330</v>
      </c>
      <c r="B4" s="9" t="s">
        <v>314</v>
      </c>
      <c r="C4" s="9" t="s">
        <v>331</v>
      </c>
      <c r="D4" s="9" t="s">
        <v>332</v>
      </c>
      <c r="E4" s="9" t="s">
        <v>10</v>
      </c>
      <c r="F4" s="9" t="s">
        <v>333</v>
      </c>
      <c r="G4" s="9" t="s">
        <v>334</v>
      </c>
      <c r="H4" s="9" t="s">
        <v>335</v>
      </c>
      <c r="I4" s="9" t="s">
        <v>44</v>
      </c>
      <c r="J4" s="9" t="s">
        <v>336</v>
      </c>
      <c r="K4" s="10" t="s">
        <v>337</v>
      </c>
      <c r="L4" s="9" t="s">
        <v>4</v>
      </c>
      <c r="M4" s="9" t="s">
        <v>338</v>
      </c>
    </row>
    <row r="5" spans="1:13" ht="18" customHeight="1" x14ac:dyDescent="0.45">
      <c r="A5" s="9" t="s">
        <v>339</v>
      </c>
      <c r="B5" s="9" t="s">
        <v>314</v>
      </c>
      <c r="C5" s="9" t="s">
        <v>340</v>
      </c>
      <c r="D5" s="9" t="s">
        <v>341</v>
      </c>
      <c r="E5" s="9" t="s">
        <v>10</v>
      </c>
      <c r="F5" s="9" t="s">
        <v>342</v>
      </c>
      <c r="G5" s="9" t="s">
        <v>343</v>
      </c>
      <c r="H5" s="9" t="s">
        <v>344</v>
      </c>
      <c r="I5" s="9" t="s">
        <v>44</v>
      </c>
      <c r="J5" s="9" t="s">
        <v>345</v>
      </c>
      <c r="K5" s="9" t="s">
        <v>346</v>
      </c>
      <c r="L5" s="9" t="s">
        <v>3</v>
      </c>
      <c r="M5" s="9"/>
    </row>
    <row r="6" spans="1:13" ht="18" customHeight="1" x14ac:dyDescent="0.45">
      <c r="A6" s="9" t="s">
        <v>347</v>
      </c>
      <c r="B6" s="9" t="s">
        <v>314</v>
      </c>
      <c r="C6" s="9" t="s">
        <v>348</v>
      </c>
      <c r="D6" s="9" t="s">
        <v>349</v>
      </c>
      <c r="E6" s="9" t="s">
        <v>9</v>
      </c>
      <c r="F6" s="9" t="s">
        <v>350</v>
      </c>
      <c r="G6" s="9" t="s">
        <v>351</v>
      </c>
      <c r="H6" s="9" t="s">
        <v>352</v>
      </c>
      <c r="I6" s="9" t="s">
        <v>44</v>
      </c>
      <c r="J6" s="9" t="s">
        <v>353</v>
      </c>
      <c r="K6" s="9" t="s">
        <v>354</v>
      </c>
      <c r="L6" s="9" t="s">
        <v>3</v>
      </c>
      <c r="M6" s="9"/>
    </row>
    <row r="7" spans="1:13" ht="18" customHeight="1" x14ac:dyDescent="0.45">
      <c r="A7" s="9" t="s">
        <v>355</v>
      </c>
      <c r="B7" s="9" t="s">
        <v>314</v>
      </c>
      <c r="C7" s="9" t="s">
        <v>348</v>
      </c>
      <c r="D7" s="9" t="s">
        <v>356</v>
      </c>
      <c r="E7" s="9" t="s">
        <v>9</v>
      </c>
      <c r="F7" s="9" t="s">
        <v>357</v>
      </c>
      <c r="G7" s="9" t="s">
        <v>358</v>
      </c>
      <c r="H7" s="9" t="s">
        <v>359</v>
      </c>
      <c r="I7" s="9" t="s">
        <v>44</v>
      </c>
      <c r="J7" s="9" t="s">
        <v>360</v>
      </c>
      <c r="K7" s="9" t="s">
        <v>361</v>
      </c>
      <c r="L7" s="9" t="s">
        <v>3</v>
      </c>
      <c r="M7" s="9"/>
    </row>
    <row r="8" spans="1:13" ht="18" customHeight="1" x14ac:dyDescent="0.45">
      <c r="A8" s="9" t="s">
        <v>362</v>
      </c>
      <c r="B8" s="9" t="s">
        <v>314</v>
      </c>
      <c r="C8" s="9" t="s">
        <v>363</v>
      </c>
      <c r="D8" s="9" t="s">
        <v>364</v>
      </c>
      <c r="E8" s="9" t="s">
        <v>9</v>
      </c>
      <c r="F8" s="9" t="s">
        <v>365</v>
      </c>
      <c r="G8" s="9" t="s">
        <v>366</v>
      </c>
      <c r="H8" s="9" t="s">
        <v>367</v>
      </c>
      <c r="I8" s="9" t="s">
        <v>327</v>
      </c>
      <c r="J8" s="9" t="s">
        <v>368</v>
      </c>
      <c r="K8" s="10" t="s">
        <v>369</v>
      </c>
      <c r="L8" s="9" t="s">
        <v>4</v>
      </c>
      <c r="M8" s="9" t="s">
        <v>370</v>
      </c>
    </row>
    <row r="9" spans="1:13" ht="18" customHeight="1" x14ac:dyDescent="0.45">
      <c r="A9" s="9" t="s">
        <v>371</v>
      </c>
      <c r="B9" s="9" t="s">
        <v>314</v>
      </c>
      <c r="C9" s="9" t="s">
        <v>372</v>
      </c>
      <c r="D9" s="9" t="s">
        <v>373</v>
      </c>
      <c r="E9" s="9" t="s">
        <v>10</v>
      </c>
      <c r="F9" s="9" t="s">
        <v>374</v>
      </c>
      <c r="G9" s="9" t="s">
        <v>375</v>
      </c>
      <c r="H9" s="9" t="s">
        <v>376</v>
      </c>
      <c r="I9" s="9" t="s">
        <v>44</v>
      </c>
      <c r="J9" s="9" t="s">
        <v>377</v>
      </c>
      <c r="K9" s="9" t="s">
        <v>378</v>
      </c>
      <c r="L9" s="9" t="s">
        <v>3</v>
      </c>
      <c r="M9" s="9"/>
    </row>
    <row r="10" spans="1:13" ht="18" customHeight="1" x14ac:dyDescent="0.45">
      <c r="A10" s="9" t="s">
        <v>379</v>
      </c>
      <c r="B10" s="9" t="s">
        <v>314</v>
      </c>
      <c r="C10" s="9" t="s">
        <v>380</v>
      </c>
      <c r="D10" s="9" t="s">
        <v>381</v>
      </c>
      <c r="E10" s="9" t="s">
        <v>10</v>
      </c>
      <c r="F10" s="9" t="s">
        <v>382</v>
      </c>
      <c r="G10" s="9" t="s">
        <v>383</v>
      </c>
      <c r="H10" s="9" t="s">
        <v>384</v>
      </c>
      <c r="I10" s="9" t="s">
        <v>44</v>
      </c>
      <c r="J10" s="9" t="s">
        <v>385</v>
      </c>
      <c r="K10" s="9" t="s">
        <v>386</v>
      </c>
      <c r="L10" s="9" t="s">
        <v>3</v>
      </c>
      <c r="M10" s="9"/>
    </row>
    <row r="11" spans="1:13" ht="18" customHeight="1" x14ac:dyDescent="0.45">
      <c r="A11" s="9" t="s">
        <v>387</v>
      </c>
      <c r="B11" s="9" t="s">
        <v>314</v>
      </c>
      <c r="C11" s="9" t="s">
        <v>380</v>
      </c>
      <c r="D11" s="9" t="s">
        <v>388</v>
      </c>
      <c r="E11" s="9" t="s">
        <v>9</v>
      </c>
      <c r="F11" s="9" t="s">
        <v>389</v>
      </c>
      <c r="G11" s="9" t="s">
        <v>390</v>
      </c>
      <c r="H11" s="9" t="s">
        <v>391</v>
      </c>
      <c r="I11" s="9" t="s">
        <v>327</v>
      </c>
      <c r="J11" s="9" t="s">
        <v>392</v>
      </c>
      <c r="K11" s="9" t="s">
        <v>393</v>
      </c>
      <c r="L11" s="9" t="s">
        <v>3</v>
      </c>
      <c r="M11" s="9"/>
    </row>
    <row r="12" spans="1:13" ht="18" customHeight="1" x14ac:dyDescent="0.45">
      <c r="A12" s="9" t="s">
        <v>394</v>
      </c>
      <c r="B12" s="9" t="s">
        <v>314</v>
      </c>
      <c r="C12" s="9" t="s">
        <v>348</v>
      </c>
      <c r="D12" s="9" t="s">
        <v>395</v>
      </c>
      <c r="E12" s="9" t="s">
        <v>9</v>
      </c>
      <c r="F12" s="9" t="s">
        <v>396</v>
      </c>
      <c r="G12" s="9" t="s">
        <v>397</v>
      </c>
      <c r="H12" s="9" t="s">
        <v>398</v>
      </c>
      <c r="I12" s="9" t="s">
        <v>327</v>
      </c>
      <c r="J12" s="9" t="s">
        <v>399</v>
      </c>
      <c r="K12" s="9" t="s">
        <v>400</v>
      </c>
      <c r="L12" s="9" t="s">
        <v>3</v>
      </c>
      <c r="M12" s="9"/>
    </row>
  </sheetData>
  <conditionalFormatting sqref="E2:E12">
    <cfRule type="expression" dxfId="48" priority="13">
      <formula>$E2="P0"</formula>
    </cfRule>
    <cfRule type="expression" dxfId="47" priority="14">
      <formula>$E2="P1"</formula>
    </cfRule>
    <cfRule type="expression" dxfId="46" priority="15">
      <formula>$E2="P2"</formula>
    </cfRule>
  </conditionalFormatting>
  <conditionalFormatting sqref="L2:L12">
    <cfRule type="expression" dxfId="45" priority="9">
      <formula>$L2="PASS"</formula>
    </cfRule>
    <cfRule type="expression" dxfId="44" priority="10">
      <formula>$L2="FAIL"</formula>
    </cfRule>
    <cfRule type="expression" dxfId="43" priority="11">
      <formula>$L2="BLOCKED"</formula>
    </cfRule>
    <cfRule type="expression" dxfId="42" priority="12">
      <formula>$L2="NOT RUN"</formula>
    </cfRule>
  </conditionalFormatting>
  <dataValidations count="2">
    <dataValidation type="list" allowBlank="1" sqref="L2:L12" xr:uid="{00000000-0002-0000-0400-000000000000}">
      <formula1>"NOT RUN,PASS,FAIL,BLOCKED"</formula1>
    </dataValidation>
    <dataValidation type="list" allowBlank="1" sqref="E2:E12" xr:uid="{00000000-0002-0000-0400-000001000000}">
      <formula1>"P0,P1,P2"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topLeftCell="G1" workbookViewId="0">
      <selection activeCell="K5" sqref="K5"/>
    </sheetView>
  </sheetViews>
  <sheetFormatPr defaultRowHeight="14.25" x14ac:dyDescent="0.45"/>
  <cols>
    <col min="1" max="1" width="18" customWidth="1"/>
    <col min="2" max="2" width="24" customWidth="1"/>
    <col min="3" max="4" width="34" customWidth="1"/>
    <col min="5" max="5" width="10" customWidth="1"/>
    <col min="6" max="6" width="34" customWidth="1"/>
    <col min="7" max="7" width="42" customWidth="1"/>
    <col min="8" max="8" width="44" customWidth="1"/>
    <col min="9" max="9" width="16" customWidth="1"/>
    <col min="10" max="10" width="50" customWidth="1"/>
    <col min="11" max="11" width="28" customWidth="1"/>
    <col min="12" max="12" width="16" customWidth="1"/>
    <col min="13" max="13" width="28" customWidth="1"/>
  </cols>
  <sheetData>
    <row r="1" spans="1:13" x14ac:dyDescent="0.45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</row>
    <row r="2" spans="1:13" ht="18" customHeight="1" x14ac:dyDescent="0.45">
      <c r="A2" s="9" t="s">
        <v>401</v>
      </c>
      <c r="B2" s="9" t="s">
        <v>402</v>
      </c>
      <c r="C2" s="9" t="s">
        <v>149</v>
      </c>
      <c r="D2" s="9" t="s">
        <v>403</v>
      </c>
      <c r="E2" s="9" t="s">
        <v>9</v>
      </c>
      <c r="F2" s="9" t="s">
        <v>404</v>
      </c>
      <c r="G2" s="9" t="s">
        <v>405</v>
      </c>
      <c r="H2" s="9" t="s">
        <v>406</v>
      </c>
      <c r="I2" s="9" t="s">
        <v>327</v>
      </c>
      <c r="J2" s="9" t="s">
        <v>407</v>
      </c>
      <c r="K2" s="9" t="s">
        <v>408</v>
      </c>
      <c r="L2" s="9" t="s">
        <v>3</v>
      </c>
      <c r="M2" s="9"/>
    </row>
    <row r="3" spans="1:13" ht="18" customHeight="1" x14ac:dyDescent="0.45">
      <c r="A3" s="9" t="s">
        <v>409</v>
      </c>
      <c r="B3" s="9" t="s">
        <v>402</v>
      </c>
      <c r="C3" s="9" t="s">
        <v>254</v>
      </c>
      <c r="D3" s="9" t="s">
        <v>410</v>
      </c>
      <c r="E3" s="9" t="s">
        <v>9</v>
      </c>
      <c r="F3" s="9" t="s">
        <v>411</v>
      </c>
      <c r="G3" s="9" t="s">
        <v>412</v>
      </c>
      <c r="H3" s="9" t="s">
        <v>413</v>
      </c>
      <c r="I3" s="9" t="s">
        <v>44</v>
      </c>
      <c r="J3" s="9" t="s">
        <v>414</v>
      </c>
      <c r="K3" s="9" t="s">
        <v>415</v>
      </c>
      <c r="L3" s="9" t="s">
        <v>3</v>
      </c>
      <c r="M3" s="9"/>
    </row>
    <row r="4" spans="1:13" ht="18" customHeight="1" x14ac:dyDescent="0.45">
      <c r="A4" s="9" t="s">
        <v>416</v>
      </c>
      <c r="B4" s="9" t="s">
        <v>402</v>
      </c>
      <c r="C4" s="9" t="s">
        <v>254</v>
      </c>
      <c r="D4" s="9" t="s">
        <v>417</v>
      </c>
      <c r="E4" s="9" t="s">
        <v>10</v>
      </c>
      <c r="F4" s="9" t="s">
        <v>418</v>
      </c>
      <c r="G4" s="9" t="s">
        <v>419</v>
      </c>
      <c r="H4" s="9" t="s">
        <v>420</v>
      </c>
      <c r="I4" s="9" t="s">
        <v>44</v>
      </c>
      <c r="J4" s="9" t="s">
        <v>421</v>
      </c>
      <c r="K4" s="9" t="s">
        <v>422</v>
      </c>
      <c r="L4" s="9" t="s">
        <v>3</v>
      </c>
      <c r="M4" s="9"/>
    </row>
    <row r="5" spans="1:13" ht="18" customHeight="1" x14ac:dyDescent="0.45">
      <c r="A5" s="9" t="s">
        <v>423</v>
      </c>
      <c r="B5" s="9" t="s">
        <v>402</v>
      </c>
      <c r="C5" s="9" t="s">
        <v>424</v>
      </c>
      <c r="D5" s="9" t="s">
        <v>425</v>
      </c>
      <c r="E5" s="9" t="s">
        <v>10</v>
      </c>
      <c r="F5" s="9" t="s">
        <v>426</v>
      </c>
      <c r="G5" s="9" t="s">
        <v>427</v>
      </c>
      <c r="H5" s="9" t="s">
        <v>428</v>
      </c>
      <c r="I5" s="9" t="s">
        <v>327</v>
      </c>
      <c r="J5" s="9" t="s">
        <v>429</v>
      </c>
      <c r="K5" s="9" t="s">
        <v>430</v>
      </c>
      <c r="L5" s="9" t="s">
        <v>3</v>
      </c>
      <c r="M5" s="9"/>
    </row>
  </sheetData>
  <conditionalFormatting sqref="E2:E5">
    <cfRule type="expression" dxfId="41" priority="13">
      <formula>$E2="P0"</formula>
    </cfRule>
    <cfRule type="expression" dxfId="40" priority="14">
      <formula>$E2="P1"</formula>
    </cfRule>
    <cfRule type="expression" dxfId="39" priority="15">
      <formula>$E2="P2"</formula>
    </cfRule>
  </conditionalFormatting>
  <conditionalFormatting sqref="L2:L5">
    <cfRule type="expression" dxfId="38" priority="9">
      <formula>$L2="PASS"</formula>
    </cfRule>
    <cfRule type="expression" dxfId="37" priority="10">
      <formula>$L2="FAIL"</formula>
    </cfRule>
    <cfRule type="expression" dxfId="36" priority="11">
      <formula>$L2="BLOCKED"</formula>
    </cfRule>
    <cfRule type="expression" dxfId="35" priority="12">
      <formula>$L2="NOT RUN"</formula>
    </cfRule>
  </conditionalFormatting>
  <dataValidations count="2">
    <dataValidation type="list" allowBlank="1" sqref="L2:L5" xr:uid="{00000000-0002-0000-0500-000000000000}">
      <formula1>"NOT RUN,PASS,FAIL,BLOCKED"</formula1>
    </dataValidation>
    <dataValidation type="list" allowBlank="1" sqref="E2:E5" xr:uid="{00000000-0002-0000-0500-000001000000}">
      <formula1>"P0,P1,P2"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"/>
  <sheetViews>
    <sheetView topLeftCell="G1" workbookViewId="0">
      <selection activeCell="M4" sqref="M4"/>
    </sheetView>
  </sheetViews>
  <sheetFormatPr defaultRowHeight="14.25" x14ac:dyDescent="0.45"/>
  <cols>
    <col min="1" max="1" width="18" customWidth="1"/>
    <col min="2" max="2" width="24" customWidth="1"/>
    <col min="3" max="4" width="34" customWidth="1"/>
    <col min="5" max="5" width="10" customWidth="1"/>
    <col min="6" max="6" width="34" customWidth="1"/>
    <col min="7" max="7" width="42" customWidth="1"/>
    <col min="8" max="8" width="44" customWidth="1"/>
    <col min="9" max="9" width="16" customWidth="1"/>
    <col min="10" max="10" width="50" customWidth="1"/>
    <col min="11" max="11" width="28" customWidth="1"/>
    <col min="12" max="12" width="16" customWidth="1"/>
    <col min="13" max="13" width="28" customWidth="1"/>
  </cols>
  <sheetData>
    <row r="1" spans="1:13" x14ac:dyDescent="0.45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</row>
    <row r="2" spans="1:13" ht="18" customHeight="1" x14ac:dyDescent="0.45">
      <c r="A2" s="9" t="s">
        <v>431</v>
      </c>
      <c r="B2" s="9" t="s">
        <v>432</v>
      </c>
      <c r="C2" s="9" t="s">
        <v>55</v>
      </c>
      <c r="D2" s="9" t="s">
        <v>433</v>
      </c>
      <c r="E2" s="9" t="s">
        <v>10</v>
      </c>
      <c r="F2" s="9" t="s">
        <v>434</v>
      </c>
      <c r="G2" s="9" t="s">
        <v>58</v>
      </c>
      <c r="H2" s="9" t="s">
        <v>435</v>
      </c>
      <c r="I2" s="9" t="s">
        <v>436</v>
      </c>
      <c r="J2" s="9" t="s">
        <v>437</v>
      </c>
      <c r="K2" s="9" t="s">
        <v>438</v>
      </c>
      <c r="L2" s="9" t="s">
        <v>3</v>
      </c>
      <c r="M2" s="9"/>
    </row>
    <row r="3" spans="1:13" ht="18" customHeight="1" x14ac:dyDescent="0.45">
      <c r="A3" s="9" t="s">
        <v>439</v>
      </c>
      <c r="B3" s="9" t="s">
        <v>432</v>
      </c>
      <c r="C3" s="9" t="s">
        <v>188</v>
      </c>
      <c r="D3" s="9" t="s">
        <v>440</v>
      </c>
      <c r="E3" s="9" t="s">
        <v>10</v>
      </c>
      <c r="F3" s="9" t="s">
        <v>441</v>
      </c>
      <c r="G3" s="9" t="s">
        <v>442</v>
      </c>
      <c r="H3" s="9" t="s">
        <v>443</v>
      </c>
      <c r="I3" s="9" t="s">
        <v>436</v>
      </c>
      <c r="J3" s="9" t="s">
        <v>444</v>
      </c>
      <c r="K3" s="9" t="s">
        <v>445</v>
      </c>
      <c r="L3" s="9" t="s">
        <v>3</v>
      </c>
      <c r="M3" s="9"/>
    </row>
    <row r="4" spans="1:13" ht="18" customHeight="1" x14ac:dyDescent="0.45">
      <c r="A4" s="9" t="s">
        <v>446</v>
      </c>
      <c r="B4" s="9" t="s">
        <v>432</v>
      </c>
      <c r="C4" s="9" t="s">
        <v>72</v>
      </c>
      <c r="D4" s="9" t="s">
        <v>447</v>
      </c>
      <c r="E4" s="9" t="s">
        <v>9</v>
      </c>
      <c r="F4" s="9" t="s">
        <v>448</v>
      </c>
      <c r="G4" s="9" t="s">
        <v>449</v>
      </c>
      <c r="H4" s="9" t="s">
        <v>450</v>
      </c>
      <c r="I4" s="9" t="s">
        <v>169</v>
      </c>
      <c r="J4" s="9" t="s">
        <v>451</v>
      </c>
      <c r="K4" s="9" t="s">
        <v>452</v>
      </c>
      <c r="L4" s="9" t="s">
        <v>4</v>
      </c>
      <c r="M4" s="9" t="s">
        <v>453</v>
      </c>
    </row>
    <row r="5" spans="1:13" ht="18" customHeight="1" x14ac:dyDescent="0.45">
      <c r="A5" s="9" t="s">
        <v>454</v>
      </c>
      <c r="B5" s="9" t="s">
        <v>432</v>
      </c>
      <c r="C5" s="9" t="s">
        <v>254</v>
      </c>
      <c r="D5" s="9" t="s">
        <v>455</v>
      </c>
      <c r="E5" s="9" t="s">
        <v>9</v>
      </c>
      <c r="F5" s="9" t="s">
        <v>456</v>
      </c>
      <c r="G5" s="9" t="s">
        <v>457</v>
      </c>
      <c r="H5" s="9" t="s">
        <v>458</v>
      </c>
      <c r="I5" s="9" t="s">
        <v>459</v>
      </c>
      <c r="J5" s="9" t="s">
        <v>460</v>
      </c>
      <c r="K5" s="9" t="s">
        <v>461</v>
      </c>
      <c r="L5" s="9" t="s">
        <v>3</v>
      </c>
      <c r="M5" s="9"/>
    </row>
    <row r="6" spans="1:13" ht="18" customHeight="1" x14ac:dyDescent="0.45">
      <c r="A6" s="9" t="s">
        <v>462</v>
      </c>
      <c r="B6" s="9" t="s">
        <v>432</v>
      </c>
      <c r="C6" s="9" t="s">
        <v>463</v>
      </c>
      <c r="D6" s="9" t="s">
        <v>464</v>
      </c>
      <c r="E6" s="9" t="s">
        <v>10</v>
      </c>
      <c r="F6" s="9" t="s">
        <v>465</v>
      </c>
      <c r="G6" s="9" t="s">
        <v>466</v>
      </c>
      <c r="H6" s="9" t="s">
        <v>467</v>
      </c>
      <c r="I6" s="9" t="s">
        <v>77</v>
      </c>
      <c r="J6" s="9" t="s">
        <v>468</v>
      </c>
      <c r="K6" s="9" t="s">
        <v>469</v>
      </c>
      <c r="L6" s="9" t="s">
        <v>4</v>
      </c>
      <c r="M6" s="9" t="s">
        <v>470</v>
      </c>
    </row>
  </sheetData>
  <conditionalFormatting sqref="E2:E6">
    <cfRule type="expression" dxfId="34" priority="13">
      <formula>$E2="P0"</formula>
    </cfRule>
    <cfRule type="expression" dxfId="33" priority="14">
      <formula>$E2="P1"</formula>
    </cfRule>
    <cfRule type="expression" dxfId="32" priority="15">
      <formula>$E2="P2"</formula>
    </cfRule>
  </conditionalFormatting>
  <conditionalFormatting sqref="L2:L6">
    <cfRule type="expression" dxfId="31" priority="9">
      <formula>$L2="PASS"</formula>
    </cfRule>
    <cfRule type="expression" dxfId="30" priority="10">
      <formula>$L2="FAIL"</formula>
    </cfRule>
    <cfRule type="expression" dxfId="29" priority="11">
      <formula>$L2="BLOCKED"</formula>
    </cfRule>
    <cfRule type="expression" dxfId="28" priority="12">
      <formula>$L2="NOT RUN"</formula>
    </cfRule>
  </conditionalFormatting>
  <dataValidations count="2">
    <dataValidation type="list" allowBlank="1" sqref="L2:L6" xr:uid="{00000000-0002-0000-0600-000000000000}">
      <formula1>"NOT RUN,PASS,FAIL,BLOCKED"</formula1>
    </dataValidation>
    <dataValidation type="list" allowBlank="1" sqref="E2:E6" xr:uid="{00000000-0002-0000-0600-000001000000}">
      <formula1>"P0,P1,P2"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topLeftCell="G1" workbookViewId="0"/>
  </sheetViews>
  <sheetFormatPr defaultRowHeight="14.25" x14ac:dyDescent="0.45"/>
  <cols>
    <col min="1" max="1" width="18" customWidth="1"/>
    <col min="2" max="2" width="24" customWidth="1"/>
    <col min="3" max="4" width="34" customWidth="1"/>
    <col min="5" max="5" width="10" customWidth="1"/>
    <col min="6" max="6" width="34" customWidth="1"/>
    <col min="7" max="7" width="42" customWidth="1"/>
    <col min="8" max="8" width="44" customWidth="1"/>
    <col min="9" max="9" width="16" customWidth="1"/>
    <col min="10" max="10" width="50" customWidth="1"/>
    <col min="11" max="11" width="28" customWidth="1"/>
    <col min="12" max="12" width="16" customWidth="1"/>
    <col min="13" max="13" width="28" customWidth="1"/>
  </cols>
  <sheetData>
    <row r="1" spans="1:13" x14ac:dyDescent="0.45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</row>
    <row r="2" spans="1:13" ht="18" customHeight="1" x14ac:dyDescent="0.45">
      <c r="A2" s="9" t="s">
        <v>471</v>
      </c>
      <c r="B2" s="9" t="s">
        <v>472</v>
      </c>
      <c r="C2" s="9" t="s">
        <v>55</v>
      </c>
      <c r="D2" s="9" t="s">
        <v>473</v>
      </c>
      <c r="E2" s="9" t="s">
        <v>9</v>
      </c>
      <c r="F2" s="9" t="s">
        <v>57</v>
      </c>
      <c r="G2" s="9" t="s">
        <v>474</v>
      </c>
      <c r="H2" s="9" t="s">
        <v>475</v>
      </c>
      <c r="I2" s="9" t="s">
        <v>169</v>
      </c>
      <c r="J2" s="9" t="s">
        <v>476</v>
      </c>
      <c r="K2" s="9" t="s">
        <v>477</v>
      </c>
      <c r="L2" s="9" t="s">
        <v>3</v>
      </c>
      <c r="M2" s="9" t="s">
        <v>233</v>
      </c>
    </row>
    <row r="3" spans="1:13" ht="18" customHeight="1" x14ac:dyDescent="0.45">
      <c r="A3" s="9" t="s">
        <v>478</v>
      </c>
      <c r="B3" s="9" t="s">
        <v>472</v>
      </c>
      <c r="C3" s="9" t="s">
        <v>95</v>
      </c>
      <c r="D3" s="9" t="s">
        <v>479</v>
      </c>
      <c r="E3" s="9" t="s">
        <v>9</v>
      </c>
      <c r="F3" s="9" t="s">
        <v>480</v>
      </c>
      <c r="G3" s="9" t="s">
        <v>481</v>
      </c>
      <c r="H3" s="9" t="s">
        <v>482</v>
      </c>
      <c r="I3" s="9" t="s">
        <v>483</v>
      </c>
      <c r="J3" s="9" t="s">
        <v>484</v>
      </c>
      <c r="K3" s="9" t="s">
        <v>485</v>
      </c>
      <c r="L3" s="9" t="s">
        <v>3</v>
      </c>
      <c r="M3" s="9"/>
    </row>
    <row r="4" spans="1:13" ht="18" customHeight="1" x14ac:dyDescent="0.45">
      <c r="A4" s="9" t="s">
        <v>486</v>
      </c>
      <c r="B4" s="9" t="s">
        <v>472</v>
      </c>
      <c r="C4" s="9" t="s">
        <v>487</v>
      </c>
      <c r="D4" s="9" t="s">
        <v>488</v>
      </c>
      <c r="E4" s="9" t="s">
        <v>9</v>
      </c>
      <c r="F4" s="9" t="s">
        <v>489</v>
      </c>
      <c r="G4" s="9" t="s">
        <v>490</v>
      </c>
      <c r="H4" s="9" t="s">
        <v>491</v>
      </c>
      <c r="I4" s="9" t="s">
        <v>483</v>
      </c>
      <c r="J4" s="9" t="s">
        <v>492</v>
      </c>
      <c r="K4" s="9" t="s">
        <v>493</v>
      </c>
      <c r="L4" s="9" t="s">
        <v>3</v>
      </c>
      <c r="M4" s="9"/>
    </row>
    <row r="5" spans="1:13" ht="18" customHeight="1" x14ac:dyDescent="0.45">
      <c r="A5" s="9" t="s">
        <v>494</v>
      </c>
      <c r="B5" s="9" t="s">
        <v>472</v>
      </c>
      <c r="C5" s="9" t="s">
        <v>72</v>
      </c>
      <c r="D5" s="9" t="s">
        <v>495</v>
      </c>
      <c r="E5" s="9" t="s">
        <v>10</v>
      </c>
      <c r="F5" s="9" t="s">
        <v>496</v>
      </c>
      <c r="G5" s="9" t="s">
        <v>497</v>
      </c>
      <c r="H5" s="9" t="s">
        <v>498</v>
      </c>
      <c r="I5" s="9" t="s">
        <v>499</v>
      </c>
      <c r="J5" s="9" t="s">
        <v>500</v>
      </c>
      <c r="K5" s="9" t="s">
        <v>501</v>
      </c>
      <c r="L5" s="9" t="s">
        <v>3</v>
      </c>
      <c r="M5" s="9" t="s">
        <v>233</v>
      </c>
    </row>
    <row r="6" spans="1:13" ht="18" customHeight="1" x14ac:dyDescent="0.45">
      <c r="A6" s="9" t="s">
        <v>502</v>
      </c>
      <c r="B6" s="9" t="s">
        <v>472</v>
      </c>
      <c r="C6" s="9" t="s">
        <v>503</v>
      </c>
      <c r="D6" s="9" t="s">
        <v>504</v>
      </c>
      <c r="E6" s="9" t="s">
        <v>10</v>
      </c>
      <c r="F6" s="9" t="s">
        <v>505</v>
      </c>
      <c r="G6" s="9" t="s">
        <v>506</v>
      </c>
      <c r="H6" s="9" t="s">
        <v>507</v>
      </c>
      <c r="I6" s="9" t="s">
        <v>508</v>
      </c>
      <c r="J6" s="9" t="s">
        <v>509</v>
      </c>
      <c r="K6" s="9" t="s">
        <v>510</v>
      </c>
      <c r="L6" s="9" t="s">
        <v>3</v>
      </c>
      <c r="M6" s="9"/>
    </row>
    <row r="7" spans="1:13" ht="18" customHeight="1" x14ac:dyDescent="0.45">
      <c r="A7" s="9" t="s">
        <v>511</v>
      </c>
      <c r="B7" s="9" t="s">
        <v>472</v>
      </c>
      <c r="C7" s="9" t="s">
        <v>72</v>
      </c>
      <c r="D7" s="9" t="s">
        <v>512</v>
      </c>
      <c r="E7" s="9" t="s">
        <v>9</v>
      </c>
      <c r="F7" s="9" t="s">
        <v>513</v>
      </c>
      <c r="G7" s="9" t="s">
        <v>514</v>
      </c>
      <c r="H7" s="9" t="s">
        <v>515</v>
      </c>
      <c r="I7" s="9" t="s">
        <v>169</v>
      </c>
      <c r="J7" s="9" t="s">
        <v>516</v>
      </c>
      <c r="K7" s="9" t="s">
        <v>517</v>
      </c>
      <c r="L7" s="9" t="s">
        <v>3</v>
      </c>
      <c r="M7" s="9"/>
    </row>
  </sheetData>
  <conditionalFormatting sqref="E2:E7">
    <cfRule type="expression" dxfId="27" priority="13">
      <formula>$E2="P0"</formula>
    </cfRule>
    <cfRule type="expression" dxfId="26" priority="14">
      <formula>$E2="P1"</formula>
    </cfRule>
    <cfRule type="expression" dxfId="25" priority="15">
      <formula>$E2="P2"</formula>
    </cfRule>
  </conditionalFormatting>
  <conditionalFormatting sqref="L2:L7">
    <cfRule type="expression" dxfId="24" priority="9">
      <formula>$L2="PASS"</formula>
    </cfRule>
    <cfRule type="expression" dxfId="23" priority="10">
      <formula>$L2="FAIL"</formula>
    </cfRule>
    <cfRule type="expression" dxfId="22" priority="11">
      <formula>$L2="BLOCKED"</formula>
    </cfRule>
    <cfRule type="expression" dxfId="21" priority="12">
      <formula>$L2="NOT RUN"</formula>
    </cfRule>
  </conditionalFormatting>
  <dataValidations count="2">
    <dataValidation type="list" allowBlank="1" sqref="L2:L7" xr:uid="{00000000-0002-0000-0700-000000000000}">
      <formula1>"NOT RUN,PASS,FAIL,BLOCKED"</formula1>
    </dataValidation>
    <dataValidation type="list" allowBlank="1" sqref="E2:E7" xr:uid="{00000000-0002-0000-0700-000001000000}">
      <formula1>"P0,P1,P2"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topLeftCell="G1" workbookViewId="0"/>
  </sheetViews>
  <sheetFormatPr defaultRowHeight="14.25" x14ac:dyDescent="0.45"/>
  <cols>
    <col min="1" max="1" width="18" customWidth="1"/>
    <col min="2" max="2" width="24" customWidth="1"/>
    <col min="3" max="4" width="34" customWidth="1"/>
    <col min="5" max="5" width="10" customWidth="1"/>
    <col min="6" max="6" width="34" customWidth="1"/>
    <col min="7" max="7" width="42" customWidth="1"/>
    <col min="8" max="8" width="44" customWidth="1"/>
    <col min="9" max="9" width="16" customWidth="1"/>
    <col min="10" max="10" width="50" customWidth="1"/>
    <col min="11" max="11" width="28" customWidth="1"/>
    <col min="12" max="12" width="16" customWidth="1"/>
    <col min="13" max="13" width="28" customWidth="1"/>
  </cols>
  <sheetData>
    <row r="1" spans="1:13" x14ac:dyDescent="0.45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</row>
    <row r="2" spans="1:13" ht="18" customHeight="1" x14ac:dyDescent="0.45">
      <c r="A2" s="9" t="s">
        <v>518</v>
      </c>
      <c r="B2" s="9" t="s">
        <v>519</v>
      </c>
      <c r="C2" s="9" t="s">
        <v>363</v>
      </c>
      <c r="D2" s="9" t="s">
        <v>520</v>
      </c>
      <c r="E2" s="9" t="s">
        <v>9</v>
      </c>
      <c r="F2" s="9" t="s">
        <v>521</v>
      </c>
      <c r="G2" s="9" t="s">
        <v>522</v>
      </c>
      <c r="H2" s="9" t="s">
        <v>523</v>
      </c>
      <c r="I2" s="9" t="s">
        <v>524</v>
      </c>
      <c r="J2" s="9" t="s">
        <v>525</v>
      </c>
      <c r="K2" s="9" t="s">
        <v>526</v>
      </c>
      <c r="L2" s="9" t="s">
        <v>3</v>
      </c>
      <c r="M2" s="9"/>
    </row>
    <row r="3" spans="1:13" ht="18" customHeight="1" x14ac:dyDescent="0.45">
      <c r="A3" s="9" t="s">
        <v>527</v>
      </c>
      <c r="B3" s="9" t="s">
        <v>519</v>
      </c>
      <c r="C3" s="9" t="s">
        <v>254</v>
      </c>
      <c r="D3" s="9" t="s">
        <v>528</v>
      </c>
      <c r="E3" s="9" t="s">
        <v>9</v>
      </c>
      <c r="F3" s="9" t="s">
        <v>529</v>
      </c>
      <c r="G3" s="9" t="s">
        <v>530</v>
      </c>
      <c r="H3" s="9" t="s">
        <v>531</v>
      </c>
      <c r="I3" s="9" t="s">
        <v>524</v>
      </c>
      <c r="J3" s="9" t="s">
        <v>532</v>
      </c>
      <c r="K3" s="9" t="s">
        <v>533</v>
      </c>
      <c r="L3" s="9" t="s">
        <v>3</v>
      </c>
      <c r="M3" s="9"/>
    </row>
    <row r="4" spans="1:13" ht="18" customHeight="1" x14ac:dyDescent="0.45">
      <c r="A4" s="9" t="s">
        <v>534</v>
      </c>
      <c r="B4" s="9" t="s">
        <v>519</v>
      </c>
      <c r="C4" s="9" t="s">
        <v>372</v>
      </c>
      <c r="D4" s="9" t="s">
        <v>535</v>
      </c>
      <c r="E4" s="9" t="s">
        <v>10</v>
      </c>
      <c r="F4" s="9" t="s">
        <v>536</v>
      </c>
      <c r="G4" s="9" t="s">
        <v>537</v>
      </c>
      <c r="H4" s="9" t="s">
        <v>538</v>
      </c>
      <c r="I4" s="9" t="s">
        <v>524</v>
      </c>
      <c r="J4" s="9" t="s">
        <v>539</v>
      </c>
      <c r="K4" s="9" t="s">
        <v>540</v>
      </c>
      <c r="L4" s="9" t="s">
        <v>3</v>
      </c>
      <c r="M4" s="9"/>
    </row>
    <row r="5" spans="1:13" ht="18" customHeight="1" x14ac:dyDescent="0.45">
      <c r="A5" s="9" t="s">
        <v>541</v>
      </c>
      <c r="B5" s="9" t="s">
        <v>519</v>
      </c>
      <c r="C5" s="9" t="s">
        <v>254</v>
      </c>
      <c r="D5" s="9" t="s">
        <v>542</v>
      </c>
      <c r="E5" s="9" t="s">
        <v>10</v>
      </c>
      <c r="F5" s="9" t="s">
        <v>543</v>
      </c>
      <c r="G5" s="9" t="s">
        <v>544</v>
      </c>
      <c r="H5" s="9" t="s">
        <v>545</v>
      </c>
      <c r="I5" s="9" t="s">
        <v>524</v>
      </c>
      <c r="J5" s="9" t="s">
        <v>546</v>
      </c>
      <c r="K5" s="9" t="s">
        <v>547</v>
      </c>
      <c r="L5" s="9" t="s">
        <v>3</v>
      </c>
      <c r="M5" s="9"/>
    </row>
    <row r="6" spans="1:13" ht="18" customHeight="1" x14ac:dyDescent="0.45">
      <c r="A6" s="9" t="s">
        <v>548</v>
      </c>
      <c r="B6" s="9" t="s">
        <v>519</v>
      </c>
      <c r="C6" s="9" t="s">
        <v>157</v>
      </c>
      <c r="D6" s="9" t="s">
        <v>549</v>
      </c>
      <c r="E6" s="9" t="s">
        <v>10</v>
      </c>
      <c r="F6" s="9" t="s">
        <v>550</v>
      </c>
      <c r="G6" s="9" t="s">
        <v>551</v>
      </c>
      <c r="H6" s="9" t="s">
        <v>552</v>
      </c>
      <c r="I6" s="9" t="s">
        <v>524</v>
      </c>
      <c r="J6" s="9" t="s">
        <v>553</v>
      </c>
      <c r="K6" s="9" t="s">
        <v>554</v>
      </c>
      <c r="L6" s="9" t="s">
        <v>3</v>
      </c>
      <c r="M6" s="9"/>
    </row>
    <row r="7" spans="1:13" ht="18" customHeight="1" x14ac:dyDescent="0.45">
      <c r="A7" s="9" t="s">
        <v>555</v>
      </c>
      <c r="B7" s="9" t="s">
        <v>519</v>
      </c>
      <c r="C7" s="9" t="s">
        <v>254</v>
      </c>
      <c r="D7" s="9" t="s">
        <v>556</v>
      </c>
      <c r="E7" s="9" t="s">
        <v>9</v>
      </c>
      <c r="F7" s="9" t="s">
        <v>557</v>
      </c>
      <c r="G7" s="9" t="s">
        <v>558</v>
      </c>
      <c r="H7" s="9" t="s">
        <v>559</v>
      </c>
      <c r="I7" s="9" t="s">
        <v>459</v>
      </c>
      <c r="J7" s="9" t="s">
        <v>560</v>
      </c>
      <c r="K7" s="9" t="s">
        <v>561</v>
      </c>
      <c r="L7" s="9" t="s">
        <v>3</v>
      </c>
      <c r="M7" s="9"/>
    </row>
  </sheetData>
  <conditionalFormatting sqref="E2:E7">
    <cfRule type="expression" dxfId="20" priority="13">
      <formula>$E2="P0"</formula>
    </cfRule>
    <cfRule type="expression" dxfId="19" priority="14">
      <formula>$E2="P1"</formula>
    </cfRule>
    <cfRule type="expression" dxfId="18" priority="15">
      <formula>$E2="P2"</formula>
    </cfRule>
  </conditionalFormatting>
  <conditionalFormatting sqref="L2:L7">
    <cfRule type="expression" dxfId="17" priority="9">
      <formula>$L2="PASS"</formula>
    </cfRule>
    <cfRule type="expression" dxfId="16" priority="10">
      <formula>$L2="FAIL"</formula>
    </cfRule>
    <cfRule type="expression" dxfId="15" priority="11">
      <formula>$L2="BLOCKED"</formula>
    </cfRule>
    <cfRule type="expression" dxfId="14" priority="12">
      <formula>$L2="NOT RUN"</formula>
    </cfRule>
  </conditionalFormatting>
  <dataValidations count="2">
    <dataValidation type="list" allowBlank="1" sqref="L2:L7" xr:uid="{00000000-0002-0000-0800-000000000000}">
      <formula1>"NOT RUN,PASS,FAIL,BLOCKED"</formula1>
    </dataValidation>
    <dataValidation type="list" allowBlank="1" sqref="E2:E7" xr:uid="{00000000-0002-0000-0800-000001000000}">
      <formula1>"P0,P1,P2"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"/>
  <sheetViews>
    <sheetView topLeftCell="G1" workbookViewId="0"/>
  </sheetViews>
  <sheetFormatPr defaultRowHeight="14.25" x14ac:dyDescent="0.45"/>
  <cols>
    <col min="1" max="1" width="18" customWidth="1"/>
    <col min="2" max="2" width="24" customWidth="1"/>
    <col min="3" max="4" width="34" customWidth="1"/>
    <col min="5" max="5" width="10" customWidth="1"/>
    <col min="6" max="6" width="34" customWidth="1"/>
    <col min="7" max="7" width="42" customWidth="1"/>
    <col min="8" max="8" width="44" customWidth="1"/>
    <col min="9" max="9" width="16" customWidth="1"/>
    <col min="10" max="10" width="50" customWidth="1"/>
    <col min="11" max="11" width="28" customWidth="1"/>
    <col min="12" max="12" width="16" customWidth="1"/>
    <col min="13" max="13" width="28" customWidth="1"/>
  </cols>
  <sheetData>
    <row r="1" spans="1:13" x14ac:dyDescent="0.45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</row>
    <row r="2" spans="1:13" ht="18" customHeight="1" x14ac:dyDescent="0.45">
      <c r="A2" s="9" t="s">
        <v>562</v>
      </c>
      <c r="B2" s="9" t="s">
        <v>563</v>
      </c>
      <c r="C2" s="9" t="s">
        <v>72</v>
      </c>
      <c r="D2" s="9" t="s">
        <v>564</v>
      </c>
      <c r="E2" s="9" t="s">
        <v>10</v>
      </c>
      <c r="F2" s="9" t="s">
        <v>565</v>
      </c>
      <c r="G2" s="9" t="s">
        <v>566</v>
      </c>
      <c r="H2" s="9" t="s">
        <v>567</v>
      </c>
      <c r="I2" s="9" t="s">
        <v>568</v>
      </c>
      <c r="J2" s="9" t="s">
        <v>569</v>
      </c>
      <c r="K2" s="9" t="s">
        <v>570</v>
      </c>
      <c r="L2" s="9" t="s">
        <v>3</v>
      </c>
      <c r="M2" s="9"/>
    </row>
    <row r="3" spans="1:13" ht="18" customHeight="1" x14ac:dyDescent="0.45">
      <c r="A3" s="9" t="s">
        <v>571</v>
      </c>
      <c r="B3" s="9" t="s">
        <v>563</v>
      </c>
      <c r="C3" s="9" t="s">
        <v>254</v>
      </c>
      <c r="D3" s="9" t="s">
        <v>572</v>
      </c>
      <c r="E3" s="9" t="s">
        <v>9</v>
      </c>
      <c r="F3" s="9" t="s">
        <v>573</v>
      </c>
      <c r="G3" s="9" t="s">
        <v>574</v>
      </c>
      <c r="H3" s="9" t="s">
        <v>575</v>
      </c>
      <c r="I3" s="9" t="s">
        <v>459</v>
      </c>
      <c r="J3" s="9" t="s">
        <v>576</v>
      </c>
      <c r="K3" s="9" t="s">
        <v>577</v>
      </c>
      <c r="L3" s="9" t="s">
        <v>3</v>
      </c>
      <c r="M3" s="9"/>
    </row>
    <row r="4" spans="1:13" ht="18" customHeight="1" x14ac:dyDescent="0.45">
      <c r="A4" s="9" t="s">
        <v>578</v>
      </c>
      <c r="B4" s="9" t="s">
        <v>563</v>
      </c>
      <c r="C4" s="9" t="s">
        <v>149</v>
      </c>
      <c r="D4" s="9" t="s">
        <v>579</v>
      </c>
      <c r="E4" s="9" t="s">
        <v>9</v>
      </c>
      <c r="F4" s="9" t="s">
        <v>580</v>
      </c>
      <c r="G4" s="9" t="s">
        <v>581</v>
      </c>
      <c r="H4" s="9" t="s">
        <v>582</v>
      </c>
      <c r="I4" s="9" t="s">
        <v>327</v>
      </c>
      <c r="J4" s="9" t="s">
        <v>583</v>
      </c>
      <c r="K4" s="9" t="s">
        <v>584</v>
      </c>
      <c r="L4" s="9" t="s">
        <v>3</v>
      </c>
      <c r="M4" s="9"/>
    </row>
  </sheetData>
  <conditionalFormatting sqref="E2:E4">
    <cfRule type="expression" dxfId="13" priority="13">
      <formula>$E2="P0"</formula>
    </cfRule>
    <cfRule type="expression" dxfId="12" priority="14">
      <formula>$E2="P1"</formula>
    </cfRule>
    <cfRule type="expression" dxfId="11" priority="15">
      <formula>$E2="P2"</formula>
    </cfRule>
  </conditionalFormatting>
  <conditionalFormatting sqref="L2:L4">
    <cfRule type="expression" dxfId="10" priority="9">
      <formula>$L2="PASS"</formula>
    </cfRule>
    <cfRule type="expression" dxfId="9" priority="10">
      <formula>$L2="FAIL"</formula>
    </cfRule>
    <cfRule type="expression" dxfId="8" priority="11">
      <formula>$L2="BLOCKED"</formula>
    </cfRule>
    <cfRule type="expression" dxfId="7" priority="12">
      <formula>$L2="NOT RUN"</formula>
    </cfRule>
  </conditionalFormatting>
  <dataValidations count="2">
    <dataValidation type="list" allowBlank="1" sqref="L2:L4" xr:uid="{00000000-0002-0000-0900-000000000000}">
      <formula1>"NOT RUN,PASS,FAIL,BLOCKED"</formula1>
    </dataValidation>
    <dataValidation type="list" allowBlank="1" sqref="E2:E4" xr:uid="{00000000-0002-0000-0900-000001000000}">
      <formula1>"P0,P1,P2"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6"/>
  <sheetViews>
    <sheetView topLeftCell="G1" workbookViewId="0">
      <selection activeCell="M2" sqref="M2"/>
    </sheetView>
  </sheetViews>
  <sheetFormatPr defaultRowHeight="14.25" x14ac:dyDescent="0.45"/>
  <cols>
    <col min="1" max="1" width="18" customWidth="1"/>
    <col min="2" max="2" width="24" customWidth="1"/>
    <col min="3" max="4" width="34" customWidth="1"/>
    <col min="5" max="5" width="10" customWidth="1"/>
    <col min="6" max="6" width="34" customWidth="1"/>
    <col min="7" max="7" width="42" customWidth="1"/>
    <col min="8" max="8" width="44" customWidth="1"/>
    <col min="9" max="9" width="16" customWidth="1"/>
    <col min="10" max="10" width="50" customWidth="1"/>
    <col min="11" max="11" width="28" customWidth="1"/>
    <col min="12" max="12" width="16" customWidth="1"/>
    <col min="13" max="13" width="28" customWidth="1"/>
  </cols>
  <sheetData>
    <row r="1" spans="1:13" x14ac:dyDescent="0.45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</row>
    <row r="2" spans="1:13" ht="18" customHeight="1" x14ac:dyDescent="0.45">
      <c r="A2" s="9" t="s">
        <v>585</v>
      </c>
      <c r="B2" s="9" t="s">
        <v>586</v>
      </c>
      <c r="C2" s="9" t="s">
        <v>127</v>
      </c>
      <c r="D2" s="9" t="s">
        <v>587</v>
      </c>
      <c r="E2" s="9" t="s">
        <v>10</v>
      </c>
      <c r="F2" s="9" t="s">
        <v>588</v>
      </c>
      <c r="G2" s="9" t="s">
        <v>589</v>
      </c>
      <c r="H2" s="9" t="s">
        <v>590</v>
      </c>
      <c r="I2" s="9" t="s">
        <v>459</v>
      </c>
      <c r="J2" s="9" t="s">
        <v>591</v>
      </c>
      <c r="K2" s="9" t="s">
        <v>592</v>
      </c>
      <c r="L2" s="9" t="s">
        <v>5</v>
      </c>
      <c r="M2" s="9" t="s">
        <v>593</v>
      </c>
    </row>
    <row r="3" spans="1:13" ht="18" customHeight="1" x14ac:dyDescent="0.45">
      <c r="A3" s="9" t="s">
        <v>594</v>
      </c>
      <c r="B3" s="9" t="s">
        <v>586</v>
      </c>
      <c r="C3" s="9" t="s">
        <v>142</v>
      </c>
      <c r="D3" s="9" t="s">
        <v>595</v>
      </c>
      <c r="E3" s="9" t="s">
        <v>10</v>
      </c>
      <c r="F3" s="9" t="s">
        <v>596</v>
      </c>
      <c r="G3" s="9" t="s">
        <v>597</v>
      </c>
      <c r="H3" s="9" t="s">
        <v>598</v>
      </c>
      <c r="I3" s="9" t="s">
        <v>459</v>
      </c>
      <c r="J3" s="9" t="s">
        <v>599</v>
      </c>
      <c r="K3" s="9" t="s">
        <v>592</v>
      </c>
      <c r="L3" s="9" t="s">
        <v>5</v>
      </c>
      <c r="M3" s="9" t="s">
        <v>593</v>
      </c>
    </row>
    <row r="4" spans="1:13" ht="18" customHeight="1" x14ac:dyDescent="0.45">
      <c r="A4" s="9" t="s">
        <v>600</v>
      </c>
      <c r="B4" s="9" t="s">
        <v>586</v>
      </c>
      <c r="C4" s="9" t="s">
        <v>254</v>
      </c>
      <c r="D4" s="9" t="s">
        <v>601</v>
      </c>
      <c r="E4" s="9" t="s">
        <v>10</v>
      </c>
      <c r="F4" s="9" t="s">
        <v>602</v>
      </c>
      <c r="G4" s="9" t="s">
        <v>603</v>
      </c>
      <c r="H4" s="9" t="s">
        <v>604</v>
      </c>
      <c r="I4" s="9" t="s">
        <v>459</v>
      </c>
      <c r="J4" s="9" t="s">
        <v>605</v>
      </c>
      <c r="K4" s="9" t="s">
        <v>592</v>
      </c>
      <c r="L4" s="9" t="s">
        <v>5</v>
      </c>
      <c r="M4" s="9" t="s">
        <v>593</v>
      </c>
    </row>
    <row r="5" spans="1:13" ht="18" customHeight="1" x14ac:dyDescent="0.45">
      <c r="A5" s="9" t="s">
        <v>606</v>
      </c>
      <c r="B5" s="9" t="s">
        <v>586</v>
      </c>
      <c r="C5" s="9" t="s">
        <v>72</v>
      </c>
      <c r="D5" s="9" t="s">
        <v>607</v>
      </c>
      <c r="E5" s="9" t="s">
        <v>10</v>
      </c>
      <c r="F5" s="9" t="s">
        <v>608</v>
      </c>
      <c r="G5" s="9" t="s">
        <v>609</v>
      </c>
      <c r="H5" s="9" t="s">
        <v>610</v>
      </c>
      <c r="I5" s="9" t="s">
        <v>459</v>
      </c>
      <c r="J5" s="9" t="s">
        <v>611</v>
      </c>
      <c r="K5" s="9" t="s">
        <v>592</v>
      </c>
      <c r="L5" s="9" t="s">
        <v>5</v>
      </c>
      <c r="M5" s="9" t="s">
        <v>593</v>
      </c>
    </row>
    <row r="6" spans="1:13" ht="18" customHeight="1" x14ac:dyDescent="0.45">
      <c r="A6" s="9" t="s">
        <v>612</v>
      </c>
      <c r="B6" s="9" t="s">
        <v>586</v>
      </c>
      <c r="C6" s="9" t="s">
        <v>180</v>
      </c>
      <c r="D6" s="9" t="s">
        <v>613</v>
      </c>
      <c r="E6" s="9" t="s">
        <v>11</v>
      </c>
      <c r="F6" s="9" t="s">
        <v>614</v>
      </c>
      <c r="G6" s="9" t="s">
        <v>615</v>
      </c>
      <c r="H6" s="9" t="s">
        <v>616</v>
      </c>
      <c r="I6" s="9" t="s">
        <v>459</v>
      </c>
      <c r="J6" s="9" t="s">
        <v>617</v>
      </c>
      <c r="K6" s="9" t="s">
        <v>592</v>
      </c>
      <c r="L6" s="9" t="s">
        <v>5</v>
      </c>
      <c r="M6" s="9" t="s">
        <v>593</v>
      </c>
    </row>
  </sheetData>
  <conditionalFormatting sqref="E2:E6">
    <cfRule type="expression" dxfId="6" priority="13">
      <formula>$E2="P0"</formula>
    </cfRule>
    <cfRule type="expression" dxfId="5" priority="14">
      <formula>$E2="P1"</formula>
    </cfRule>
    <cfRule type="expression" dxfId="4" priority="15">
      <formula>$E2="P2"</formula>
    </cfRule>
  </conditionalFormatting>
  <conditionalFormatting sqref="L2:L6">
    <cfRule type="expression" dxfId="3" priority="9">
      <formula>$L2="PASS"</formula>
    </cfRule>
    <cfRule type="expression" dxfId="2" priority="10">
      <formula>$L2="FAIL"</formula>
    </cfRule>
    <cfRule type="expression" dxfId="1" priority="11">
      <formula>$L2="BLOCKED"</formula>
    </cfRule>
    <cfRule type="expression" dxfId="0" priority="12">
      <formula>$L2="NOT RUN"</formula>
    </cfRule>
  </conditionalFormatting>
  <dataValidations count="2">
    <dataValidation type="list" allowBlank="1" sqref="L2:L6" xr:uid="{00000000-0002-0000-0A00-000000000000}">
      <formula1>"NOT RUN,PASS,FAIL,BLOCKED"</formula1>
    </dataValidation>
    <dataValidation type="list" allowBlank="1" sqref="E2:E6" xr:uid="{00000000-0002-0000-0A00-000001000000}">
      <formula1>"P0,P1,P2"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00_Tong_Quan</vt:lpstr>
      <vt:lpstr>01_API_Chuc_Nang</vt:lpstr>
      <vt:lpstr>02_Xac_Thuc_Phan_Quyen</vt:lpstr>
      <vt:lpstr>03_Luong_Nghiep_Vu</vt:lpstr>
      <vt:lpstr>04_Chuyen_Trang_Thai</vt:lpstr>
      <vt:lpstr>05_Du_Lieu</vt:lpstr>
      <vt:lpstr>06_Tich_Hop</vt:lpstr>
      <vt:lpstr>07_Bao_Mat</vt:lpstr>
      <vt:lpstr>08_Dong_Thoi</vt:lpstr>
      <vt:lpstr>09_Kha_Nang_Phu_Hoi</vt:lpstr>
      <vt:lpstr>10_Hieu_Nang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 Hung Phuc 20225376</cp:lastModifiedBy>
  <dcterms:modified xsi:type="dcterms:W3CDTF">2026-08-31T06:41:23Z</dcterms:modified>
</cp:coreProperties>
</file>